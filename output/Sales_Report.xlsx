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dnan Desktop\Finance\sales-data-cleaning-automation\output\"/>
    </mc:Choice>
  </mc:AlternateContent>
  <xr:revisionPtr revIDLastSave="0" documentId="13_ncr:1_{1A6340D9-720B-41B2-BDFA-1A1AE0365FD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ummary" sheetId="1" r:id="rId1"/>
    <sheet name="Clean Data" sheetId="2" r:id="rId2"/>
    <sheet name="Data Quality Log" sheetId="3" r:id="rId3"/>
    <sheet name="Rejected Rows" sheetId="4" r:id="rId4"/>
  </sheets>
  <definedNames>
    <definedName name="_xlnm._FilterDatabase" localSheetId="1" hidden="1">'Clean Data'!$A$1:$K$1273</definedName>
    <definedName name="_xlnm._FilterDatabase" localSheetId="3" hidden="1">'Rejected Rows'!$A$1:$G$29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9" i="3" s="1"/>
  <c r="C9" i="3" s="1"/>
  <c r="J1273" i="2"/>
  <c r="C1273" i="2"/>
  <c r="J1272" i="2"/>
  <c r="C1272" i="2"/>
  <c r="J1271" i="2"/>
  <c r="C1271" i="2"/>
  <c r="J1270" i="2"/>
  <c r="C1270" i="2"/>
  <c r="J1269" i="2"/>
  <c r="C1269" i="2"/>
  <c r="J1268" i="2"/>
  <c r="C1268" i="2"/>
  <c r="J1267" i="2"/>
  <c r="C1267" i="2"/>
  <c r="J1266" i="2"/>
  <c r="C1266" i="2"/>
  <c r="J1265" i="2"/>
  <c r="C1265" i="2"/>
  <c r="J1264" i="2"/>
  <c r="C1264" i="2"/>
  <c r="J1263" i="2"/>
  <c r="C1263" i="2"/>
  <c r="J1262" i="2"/>
  <c r="C1262" i="2"/>
  <c r="J1261" i="2"/>
  <c r="C1261" i="2"/>
  <c r="J1260" i="2"/>
  <c r="C1260" i="2"/>
  <c r="J1259" i="2"/>
  <c r="C1259" i="2"/>
  <c r="J1258" i="2"/>
  <c r="C1258" i="2"/>
  <c r="J1257" i="2"/>
  <c r="C1257" i="2"/>
  <c r="J1256" i="2"/>
  <c r="C1256" i="2"/>
  <c r="J1255" i="2"/>
  <c r="C1255" i="2"/>
  <c r="J1254" i="2"/>
  <c r="C1254" i="2"/>
  <c r="J1253" i="2"/>
  <c r="C1253" i="2"/>
  <c r="J1252" i="2"/>
  <c r="C1252" i="2"/>
  <c r="J1251" i="2"/>
  <c r="C1251" i="2"/>
  <c r="J1250" i="2"/>
  <c r="C1250" i="2"/>
  <c r="J1249" i="2"/>
  <c r="C1249" i="2"/>
  <c r="J1248" i="2"/>
  <c r="C1248" i="2"/>
  <c r="J1247" i="2"/>
  <c r="C1247" i="2"/>
  <c r="J1246" i="2"/>
  <c r="C1246" i="2"/>
  <c r="J1245" i="2"/>
  <c r="C1245" i="2"/>
  <c r="J1244" i="2"/>
  <c r="C1244" i="2"/>
  <c r="J1243" i="2"/>
  <c r="C1243" i="2"/>
  <c r="J1242" i="2"/>
  <c r="C1242" i="2"/>
  <c r="J1241" i="2"/>
  <c r="C1241" i="2"/>
  <c r="J1240" i="2"/>
  <c r="C1240" i="2"/>
  <c r="J1239" i="2"/>
  <c r="C1239" i="2"/>
  <c r="J1238" i="2"/>
  <c r="C1238" i="2"/>
  <c r="J1237" i="2"/>
  <c r="C1237" i="2"/>
  <c r="J1236" i="2"/>
  <c r="C1236" i="2"/>
  <c r="J1235" i="2"/>
  <c r="C1235" i="2"/>
  <c r="J1234" i="2"/>
  <c r="C1234" i="2"/>
  <c r="J1233" i="2"/>
  <c r="C1233" i="2"/>
  <c r="J1232" i="2"/>
  <c r="C1232" i="2"/>
  <c r="J1231" i="2"/>
  <c r="C1231" i="2"/>
  <c r="J1230" i="2"/>
  <c r="C1230" i="2"/>
  <c r="J1229" i="2"/>
  <c r="C1229" i="2"/>
  <c r="J1228" i="2"/>
  <c r="C1228" i="2"/>
  <c r="J1227" i="2"/>
  <c r="C1227" i="2"/>
  <c r="J1226" i="2"/>
  <c r="C1226" i="2"/>
  <c r="J1225" i="2"/>
  <c r="C1225" i="2"/>
  <c r="J1224" i="2"/>
  <c r="C1224" i="2"/>
  <c r="J1223" i="2"/>
  <c r="C1223" i="2"/>
  <c r="J1222" i="2"/>
  <c r="C1222" i="2"/>
  <c r="J1221" i="2"/>
  <c r="C1221" i="2"/>
  <c r="J1220" i="2"/>
  <c r="C1220" i="2"/>
  <c r="J1219" i="2"/>
  <c r="C1219" i="2"/>
  <c r="J1218" i="2"/>
  <c r="C1218" i="2"/>
  <c r="J1217" i="2"/>
  <c r="C1217" i="2"/>
  <c r="J1216" i="2"/>
  <c r="C1216" i="2"/>
  <c r="J1215" i="2"/>
  <c r="C1215" i="2"/>
  <c r="J1214" i="2"/>
  <c r="C1214" i="2"/>
  <c r="J1213" i="2"/>
  <c r="C1213" i="2"/>
  <c r="J1212" i="2"/>
  <c r="C1212" i="2"/>
  <c r="J1211" i="2"/>
  <c r="C1211" i="2"/>
  <c r="J1210" i="2"/>
  <c r="C1210" i="2"/>
  <c r="J1209" i="2"/>
  <c r="C1209" i="2"/>
  <c r="J1208" i="2"/>
  <c r="C1208" i="2"/>
  <c r="J1207" i="2"/>
  <c r="C1207" i="2"/>
  <c r="J1206" i="2"/>
  <c r="C1206" i="2"/>
  <c r="J1205" i="2"/>
  <c r="C1205" i="2"/>
  <c r="J1204" i="2"/>
  <c r="C1204" i="2"/>
  <c r="J1203" i="2"/>
  <c r="C1203" i="2"/>
  <c r="J1202" i="2"/>
  <c r="C1202" i="2"/>
  <c r="J1201" i="2"/>
  <c r="C1201" i="2"/>
  <c r="J1200" i="2"/>
  <c r="C1200" i="2"/>
  <c r="J1199" i="2"/>
  <c r="C1199" i="2"/>
  <c r="J1198" i="2"/>
  <c r="C1198" i="2"/>
  <c r="J1197" i="2"/>
  <c r="C1197" i="2"/>
  <c r="J1196" i="2"/>
  <c r="C1196" i="2"/>
  <c r="J1195" i="2"/>
  <c r="C1195" i="2"/>
  <c r="J1194" i="2"/>
  <c r="C1194" i="2"/>
  <c r="J1193" i="2"/>
  <c r="C1193" i="2"/>
  <c r="J1192" i="2"/>
  <c r="C1192" i="2"/>
  <c r="J1191" i="2"/>
  <c r="C1191" i="2"/>
  <c r="J1190" i="2"/>
  <c r="C1190" i="2"/>
  <c r="J1189" i="2"/>
  <c r="C1189" i="2"/>
  <c r="J1188" i="2"/>
  <c r="C1188" i="2"/>
  <c r="J1187" i="2"/>
  <c r="C1187" i="2"/>
  <c r="J1186" i="2"/>
  <c r="C1186" i="2"/>
  <c r="J1185" i="2"/>
  <c r="C1185" i="2"/>
  <c r="J1184" i="2"/>
  <c r="C1184" i="2"/>
  <c r="J1183" i="2"/>
  <c r="C1183" i="2"/>
  <c r="J1182" i="2"/>
  <c r="C1182" i="2"/>
  <c r="J1181" i="2"/>
  <c r="C1181" i="2"/>
  <c r="J1180" i="2"/>
  <c r="C1180" i="2"/>
  <c r="J1179" i="2"/>
  <c r="C1179" i="2"/>
  <c r="J1178" i="2"/>
  <c r="C1178" i="2"/>
  <c r="J1177" i="2"/>
  <c r="C1177" i="2"/>
  <c r="J1176" i="2"/>
  <c r="C1176" i="2"/>
  <c r="J1175" i="2"/>
  <c r="C1175" i="2"/>
  <c r="J1174" i="2"/>
  <c r="C1174" i="2"/>
  <c r="J1173" i="2"/>
  <c r="C1173" i="2"/>
  <c r="J1172" i="2"/>
  <c r="C1172" i="2"/>
  <c r="J1171" i="2"/>
  <c r="C1171" i="2"/>
  <c r="J1170" i="2"/>
  <c r="C1170" i="2"/>
  <c r="J1169" i="2"/>
  <c r="C1169" i="2"/>
  <c r="J1168" i="2"/>
  <c r="C1168" i="2"/>
  <c r="J1167" i="2"/>
  <c r="C1167" i="2"/>
  <c r="J1166" i="2"/>
  <c r="C1166" i="2"/>
  <c r="J1165" i="2"/>
  <c r="C1165" i="2"/>
  <c r="J1164" i="2"/>
  <c r="C1164" i="2"/>
  <c r="J1163" i="2"/>
  <c r="C1163" i="2"/>
  <c r="J1162" i="2"/>
  <c r="C1162" i="2"/>
  <c r="J1161" i="2"/>
  <c r="C1161" i="2"/>
  <c r="J1160" i="2"/>
  <c r="C1160" i="2"/>
  <c r="J1159" i="2"/>
  <c r="C1159" i="2"/>
  <c r="J1158" i="2"/>
  <c r="C1158" i="2"/>
  <c r="J1157" i="2"/>
  <c r="C1157" i="2"/>
  <c r="J1156" i="2"/>
  <c r="C1156" i="2"/>
  <c r="J1155" i="2"/>
  <c r="C1155" i="2"/>
  <c r="J1154" i="2"/>
  <c r="C1154" i="2"/>
  <c r="J1153" i="2"/>
  <c r="C1153" i="2"/>
  <c r="J1152" i="2"/>
  <c r="C1152" i="2"/>
  <c r="J1151" i="2"/>
  <c r="C1151" i="2"/>
  <c r="J1150" i="2"/>
  <c r="C1150" i="2"/>
  <c r="J1149" i="2"/>
  <c r="C1149" i="2"/>
  <c r="J1148" i="2"/>
  <c r="C1148" i="2"/>
  <c r="J1147" i="2"/>
  <c r="C1147" i="2"/>
  <c r="J1146" i="2"/>
  <c r="C1146" i="2"/>
  <c r="J1145" i="2"/>
  <c r="C1145" i="2"/>
  <c r="J1144" i="2"/>
  <c r="C1144" i="2"/>
  <c r="J1143" i="2"/>
  <c r="C1143" i="2"/>
  <c r="J1142" i="2"/>
  <c r="C1142" i="2"/>
  <c r="J1141" i="2"/>
  <c r="C1141" i="2"/>
  <c r="J1140" i="2"/>
  <c r="C1140" i="2"/>
  <c r="J1139" i="2"/>
  <c r="C1139" i="2"/>
  <c r="J1138" i="2"/>
  <c r="C1138" i="2"/>
  <c r="J1137" i="2"/>
  <c r="C1137" i="2"/>
  <c r="J1136" i="2"/>
  <c r="C1136" i="2"/>
  <c r="J1135" i="2"/>
  <c r="C1135" i="2"/>
  <c r="J1134" i="2"/>
  <c r="C1134" i="2"/>
  <c r="J1133" i="2"/>
  <c r="C1133" i="2"/>
  <c r="J1132" i="2"/>
  <c r="C1132" i="2"/>
  <c r="J1131" i="2"/>
  <c r="C1131" i="2"/>
  <c r="J1130" i="2"/>
  <c r="C1130" i="2"/>
  <c r="J1129" i="2"/>
  <c r="C1129" i="2"/>
  <c r="J1128" i="2"/>
  <c r="C1128" i="2"/>
  <c r="J1127" i="2"/>
  <c r="C1127" i="2"/>
  <c r="J1126" i="2"/>
  <c r="C1126" i="2"/>
  <c r="J1125" i="2"/>
  <c r="C1125" i="2"/>
  <c r="J1124" i="2"/>
  <c r="C1124" i="2"/>
  <c r="J1123" i="2"/>
  <c r="C1123" i="2"/>
  <c r="J1122" i="2"/>
  <c r="C1122" i="2"/>
  <c r="J1121" i="2"/>
  <c r="C1121" i="2"/>
  <c r="J1120" i="2"/>
  <c r="C1120" i="2"/>
  <c r="J1119" i="2"/>
  <c r="C1119" i="2"/>
  <c r="J1118" i="2"/>
  <c r="C1118" i="2"/>
  <c r="J1117" i="2"/>
  <c r="C1117" i="2"/>
  <c r="J1116" i="2"/>
  <c r="C1116" i="2"/>
  <c r="J1115" i="2"/>
  <c r="C1115" i="2"/>
  <c r="J1114" i="2"/>
  <c r="C1114" i="2"/>
  <c r="J1113" i="2"/>
  <c r="C1113" i="2"/>
  <c r="J1112" i="2"/>
  <c r="C1112" i="2"/>
  <c r="J1111" i="2"/>
  <c r="C1111" i="2"/>
  <c r="J1110" i="2"/>
  <c r="C1110" i="2"/>
  <c r="J1109" i="2"/>
  <c r="C1109" i="2"/>
  <c r="J1108" i="2"/>
  <c r="C1108" i="2"/>
  <c r="J1107" i="2"/>
  <c r="C1107" i="2"/>
  <c r="J1106" i="2"/>
  <c r="C1106" i="2"/>
  <c r="J1105" i="2"/>
  <c r="C1105" i="2"/>
  <c r="J1104" i="2"/>
  <c r="C1104" i="2"/>
  <c r="J1103" i="2"/>
  <c r="C1103" i="2"/>
  <c r="J1102" i="2"/>
  <c r="C1102" i="2"/>
  <c r="J1101" i="2"/>
  <c r="C1101" i="2"/>
  <c r="J1100" i="2"/>
  <c r="C1100" i="2"/>
  <c r="J1099" i="2"/>
  <c r="C1099" i="2"/>
  <c r="J1098" i="2"/>
  <c r="C1098" i="2"/>
  <c r="J1097" i="2"/>
  <c r="C1097" i="2"/>
  <c r="J1096" i="2"/>
  <c r="C1096" i="2"/>
  <c r="J1095" i="2"/>
  <c r="C1095" i="2"/>
  <c r="J1094" i="2"/>
  <c r="C1094" i="2"/>
  <c r="J1093" i="2"/>
  <c r="C1093" i="2"/>
  <c r="J1092" i="2"/>
  <c r="C1092" i="2"/>
  <c r="J1091" i="2"/>
  <c r="C1091" i="2"/>
  <c r="J1090" i="2"/>
  <c r="C1090" i="2"/>
  <c r="J1089" i="2"/>
  <c r="C1089" i="2"/>
  <c r="J1088" i="2"/>
  <c r="C1088" i="2"/>
  <c r="J1087" i="2"/>
  <c r="C1087" i="2"/>
  <c r="J1086" i="2"/>
  <c r="C1086" i="2"/>
  <c r="J1085" i="2"/>
  <c r="C1085" i="2"/>
  <c r="J1084" i="2"/>
  <c r="C1084" i="2"/>
  <c r="J1083" i="2"/>
  <c r="C1083" i="2"/>
  <c r="J1082" i="2"/>
  <c r="C1082" i="2"/>
  <c r="J1081" i="2"/>
  <c r="C1081" i="2"/>
  <c r="J1080" i="2"/>
  <c r="C1080" i="2"/>
  <c r="J1079" i="2"/>
  <c r="C1079" i="2"/>
  <c r="J1078" i="2"/>
  <c r="C1078" i="2"/>
  <c r="J1077" i="2"/>
  <c r="C1077" i="2"/>
  <c r="J1076" i="2"/>
  <c r="C1076" i="2"/>
  <c r="J1075" i="2"/>
  <c r="C1075" i="2"/>
  <c r="J1074" i="2"/>
  <c r="C1074" i="2"/>
  <c r="J1073" i="2"/>
  <c r="C1073" i="2"/>
  <c r="J1072" i="2"/>
  <c r="C1072" i="2"/>
  <c r="J1071" i="2"/>
  <c r="C1071" i="2"/>
  <c r="J1070" i="2"/>
  <c r="C1070" i="2"/>
  <c r="J1069" i="2"/>
  <c r="C1069" i="2"/>
  <c r="J1068" i="2"/>
  <c r="C1068" i="2"/>
  <c r="J1067" i="2"/>
  <c r="C1067" i="2"/>
  <c r="J1066" i="2"/>
  <c r="C1066" i="2"/>
  <c r="J1065" i="2"/>
  <c r="C1065" i="2"/>
  <c r="J1064" i="2"/>
  <c r="C1064" i="2"/>
  <c r="J1063" i="2"/>
  <c r="C1063" i="2"/>
  <c r="J1062" i="2"/>
  <c r="C1062" i="2"/>
  <c r="J1061" i="2"/>
  <c r="C1061" i="2"/>
  <c r="J1060" i="2"/>
  <c r="C1060" i="2"/>
  <c r="J1059" i="2"/>
  <c r="C1059" i="2"/>
  <c r="J1058" i="2"/>
  <c r="C1058" i="2"/>
  <c r="J1057" i="2"/>
  <c r="C1057" i="2"/>
  <c r="J1056" i="2"/>
  <c r="C1056" i="2"/>
  <c r="J1055" i="2"/>
  <c r="C1055" i="2"/>
  <c r="J1054" i="2"/>
  <c r="C1054" i="2"/>
  <c r="J1053" i="2"/>
  <c r="C1053" i="2"/>
  <c r="J1052" i="2"/>
  <c r="C1052" i="2"/>
  <c r="J1051" i="2"/>
  <c r="C1051" i="2"/>
  <c r="J1050" i="2"/>
  <c r="C1050" i="2"/>
  <c r="J1049" i="2"/>
  <c r="C1049" i="2"/>
  <c r="J1048" i="2"/>
  <c r="C1048" i="2"/>
  <c r="J1047" i="2"/>
  <c r="C1047" i="2"/>
  <c r="J1046" i="2"/>
  <c r="C1046" i="2"/>
  <c r="J1045" i="2"/>
  <c r="C1045" i="2"/>
  <c r="J1044" i="2"/>
  <c r="C1044" i="2"/>
  <c r="J1043" i="2"/>
  <c r="C1043" i="2"/>
  <c r="J1042" i="2"/>
  <c r="C1042" i="2"/>
  <c r="J1041" i="2"/>
  <c r="C1041" i="2"/>
  <c r="J1040" i="2"/>
  <c r="C1040" i="2"/>
  <c r="J1039" i="2"/>
  <c r="C1039" i="2"/>
  <c r="J1038" i="2"/>
  <c r="C1038" i="2"/>
  <c r="J1037" i="2"/>
  <c r="C1037" i="2"/>
  <c r="J1036" i="2"/>
  <c r="C1036" i="2"/>
  <c r="J1035" i="2"/>
  <c r="C1035" i="2"/>
  <c r="J1034" i="2"/>
  <c r="C1034" i="2"/>
  <c r="J1033" i="2"/>
  <c r="C1033" i="2"/>
  <c r="J1032" i="2"/>
  <c r="C1032" i="2"/>
  <c r="J1031" i="2"/>
  <c r="C1031" i="2"/>
  <c r="J1030" i="2"/>
  <c r="C1030" i="2"/>
  <c r="J1029" i="2"/>
  <c r="C1029" i="2"/>
  <c r="J1028" i="2"/>
  <c r="C1028" i="2"/>
  <c r="J1027" i="2"/>
  <c r="C1027" i="2"/>
  <c r="J1026" i="2"/>
  <c r="C1026" i="2"/>
  <c r="J1025" i="2"/>
  <c r="C1025" i="2"/>
  <c r="J1024" i="2"/>
  <c r="C1024" i="2"/>
  <c r="J1023" i="2"/>
  <c r="C1023" i="2"/>
  <c r="J1022" i="2"/>
  <c r="C1022" i="2"/>
  <c r="J1021" i="2"/>
  <c r="C1021" i="2"/>
  <c r="J1020" i="2"/>
  <c r="C1020" i="2"/>
  <c r="J1019" i="2"/>
  <c r="C1019" i="2"/>
  <c r="J1018" i="2"/>
  <c r="C1018" i="2"/>
  <c r="J1017" i="2"/>
  <c r="C1017" i="2"/>
  <c r="J1016" i="2"/>
  <c r="C1016" i="2"/>
  <c r="J1015" i="2"/>
  <c r="C1015" i="2"/>
  <c r="J1014" i="2"/>
  <c r="C1014" i="2"/>
  <c r="J1013" i="2"/>
  <c r="C1013" i="2"/>
  <c r="J1012" i="2"/>
  <c r="C1012" i="2"/>
  <c r="J1011" i="2"/>
  <c r="C1011" i="2"/>
  <c r="J1010" i="2"/>
  <c r="C1010" i="2"/>
  <c r="J1009" i="2"/>
  <c r="C1009" i="2"/>
  <c r="J1008" i="2"/>
  <c r="C1008" i="2"/>
  <c r="J1007" i="2"/>
  <c r="C1007" i="2"/>
  <c r="J1006" i="2"/>
  <c r="C1006" i="2"/>
  <c r="J1005" i="2"/>
  <c r="C1005" i="2"/>
  <c r="J1004" i="2"/>
  <c r="C1004" i="2"/>
  <c r="J1003" i="2"/>
  <c r="C1003" i="2"/>
  <c r="J1002" i="2"/>
  <c r="C1002" i="2"/>
  <c r="J1001" i="2"/>
  <c r="C1001" i="2"/>
  <c r="J1000" i="2"/>
  <c r="C1000" i="2"/>
  <c r="J999" i="2"/>
  <c r="C999" i="2"/>
  <c r="J998" i="2"/>
  <c r="C998" i="2"/>
  <c r="J997" i="2"/>
  <c r="C997" i="2"/>
  <c r="J996" i="2"/>
  <c r="C996" i="2"/>
  <c r="J995" i="2"/>
  <c r="C995" i="2"/>
  <c r="J994" i="2"/>
  <c r="C994" i="2"/>
  <c r="J993" i="2"/>
  <c r="C993" i="2"/>
  <c r="J992" i="2"/>
  <c r="C992" i="2"/>
  <c r="J991" i="2"/>
  <c r="C991" i="2"/>
  <c r="J990" i="2"/>
  <c r="C990" i="2"/>
  <c r="J989" i="2"/>
  <c r="C989" i="2"/>
  <c r="J988" i="2"/>
  <c r="C988" i="2"/>
  <c r="J987" i="2"/>
  <c r="C987" i="2"/>
  <c r="J986" i="2"/>
  <c r="C986" i="2"/>
  <c r="J985" i="2"/>
  <c r="C985" i="2"/>
  <c r="J984" i="2"/>
  <c r="C984" i="2"/>
  <c r="J983" i="2"/>
  <c r="C983" i="2"/>
  <c r="J982" i="2"/>
  <c r="C982" i="2"/>
  <c r="J981" i="2"/>
  <c r="C981" i="2"/>
  <c r="J980" i="2"/>
  <c r="C980" i="2"/>
  <c r="J979" i="2"/>
  <c r="C979" i="2"/>
  <c r="J978" i="2"/>
  <c r="C978" i="2"/>
  <c r="J977" i="2"/>
  <c r="C977" i="2"/>
  <c r="J976" i="2"/>
  <c r="C976" i="2"/>
  <c r="J975" i="2"/>
  <c r="C975" i="2"/>
  <c r="J974" i="2"/>
  <c r="C974" i="2"/>
  <c r="J973" i="2"/>
  <c r="C973" i="2"/>
  <c r="J972" i="2"/>
  <c r="C972" i="2"/>
  <c r="J971" i="2"/>
  <c r="C971" i="2"/>
  <c r="J970" i="2"/>
  <c r="C970" i="2"/>
  <c r="J969" i="2"/>
  <c r="C969" i="2"/>
  <c r="J968" i="2"/>
  <c r="C968" i="2"/>
  <c r="J967" i="2"/>
  <c r="C967" i="2"/>
  <c r="J966" i="2"/>
  <c r="C966" i="2"/>
  <c r="J965" i="2"/>
  <c r="C965" i="2"/>
  <c r="J964" i="2"/>
  <c r="C964" i="2"/>
  <c r="J963" i="2"/>
  <c r="C963" i="2"/>
  <c r="J962" i="2"/>
  <c r="C962" i="2"/>
  <c r="J961" i="2"/>
  <c r="C961" i="2"/>
  <c r="J960" i="2"/>
  <c r="C960" i="2"/>
  <c r="J959" i="2"/>
  <c r="C959" i="2"/>
  <c r="J958" i="2"/>
  <c r="C958" i="2"/>
  <c r="J957" i="2"/>
  <c r="C957" i="2"/>
  <c r="J956" i="2"/>
  <c r="C956" i="2"/>
  <c r="J955" i="2"/>
  <c r="C955" i="2"/>
  <c r="J954" i="2"/>
  <c r="C954" i="2"/>
  <c r="J953" i="2"/>
  <c r="C953" i="2"/>
  <c r="J952" i="2"/>
  <c r="C952" i="2"/>
  <c r="J951" i="2"/>
  <c r="C951" i="2"/>
  <c r="J950" i="2"/>
  <c r="C950" i="2"/>
  <c r="J949" i="2"/>
  <c r="C949" i="2"/>
  <c r="J948" i="2"/>
  <c r="C948" i="2"/>
  <c r="J947" i="2"/>
  <c r="C947" i="2"/>
  <c r="J946" i="2"/>
  <c r="C946" i="2"/>
  <c r="J945" i="2"/>
  <c r="C945" i="2"/>
  <c r="J944" i="2"/>
  <c r="C944" i="2"/>
  <c r="J943" i="2"/>
  <c r="C943" i="2"/>
  <c r="J942" i="2"/>
  <c r="C942" i="2"/>
  <c r="J941" i="2"/>
  <c r="C941" i="2"/>
  <c r="J940" i="2"/>
  <c r="C940" i="2"/>
  <c r="J939" i="2"/>
  <c r="C939" i="2"/>
  <c r="J938" i="2"/>
  <c r="C938" i="2"/>
  <c r="J937" i="2"/>
  <c r="C937" i="2"/>
  <c r="J936" i="2"/>
  <c r="C936" i="2"/>
  <c r="J935" i="2"/>
  <c r="C935" i="2"/>
  <c r="J934" i="2"/>
  <c r="C934" i="2"/>
  <c r="J933" i="2"/>
  <c r="C933" i="2"/>
  <c r="J932" i="2"/>
  <c r="C932" i="2"/>
  <c r="J931" i="2"/>
  <c r="C931" i="2"/>
  <c r="J930" i="2"/>
  <c r="C930" i="2"/>
  <c r="J929" i="2"/>
  <c r="C929" i="2"/>
  <c r="J928" i="2"/>
  <c r="C928" i="2"/>
  <c r="J927" i="2"/>
  <c r="C927" i="2"/>
  <c r="J926" i="2"/>
  <c r="C926" i="2"/>
  <c r="J925" i="2"/>
  <c r="C925" i="2"/>
  <c r="J924" i="2"/>
  <c r="C924" i="2"/>
  <c r="J923" i="2"/>
  <c r="C923" i="2"/>
  <c r="J922" i="2"/>
  <c r="C922" i="2"/>
  <c r="J921" i="2"/>
  <c r="C921" i="2"/>
  <c r="J920" i="2"/>
  <c r="C920" i="2"/>
  <c r="J919" i="2"/>
  <c r="C919" i="2"/>
  <c r="J918" i="2"/>
  <c r="C918" i="2"/>
  <c r="J917" i="2"/>
  <c r="C917" i="2"/>
  <c r="J916" i="2"/>
  <c r="C916" i="2"/>
  <c r="J915" i="2"/>
  <c r="C915" i="2"/>
  <c r="J914" i="2"/>
  <c r="C914" i="2"/>
  <c r="J913" i="2"/>
  <c r="C913" i="2"/>
  <c r="J912" i="2"/>
  <c r="C912" i="2"/>
  <c r="J911" i="2"/>
  <c r="C911" i="2"/>
  <c r="J910" i="2"/>
  <c r="C910" i="2"/>
  <c r="J909" i="2"/>
  <c r="C909" i="2"/>
  <c r="J908" i="2"/>
  <c r="C908" i="2"/>
  <c r="J907" i="2"/>
  <c r="C907" i="2"/>
  <c r="J906" i="2"/>
  <c r="C906" i="2"/>
  <c r="J905" i="2"/>
  <c r="C905" i="2"/>
  <c r="J904" i="2"/>
  <c r="C904" i="2"/>
  <c r="J903" i="2"/>
  <c r="C903" i="2"/>
  <c r="J902" i="2"/>
  <c r="C902" i="2"/>
  <c r="J901" i="2"/>
  <c r="C901" i="2"/>
  <c r="J900" i="2"/>
  <c r="C900" i="2"/>
  <c r="J899" i="2"/>
  <c r="C899" i="2"/>
  <c r="J898" i="2"/>
  <c r="C898" i="2"/>
  <c r="J897" i="2"/>
  <c r="C897" i="2"/>
  <c r="J896" i="2"/>
  <c r="C896" i="2"/>
  <c r="J895" i="2"/>
  <c r="C895" i="2"/>
  <c r="J894" i="2"/>
  <c r="C894" i="2"/>
  <c r="J893" i="2"/>
  <c r="C893" i="2"/>
  <c r="J892" i="2"/>
  <c r="C892" i="2"/>
  <c r="J891" i="2"/>
  <c r="C891" i="2"/>
  <c r="J890" i="2"/>
  <c r="C890" i="2"/>
  <c r="J889" i="2"/>
  <c r="C889" i="2"/>
  <c r="J888" i="2"/>
  <c r="C888" i="2"/>
  <c r="J887" i="2"/>
  <c r="C887" i="2"/>
  <c r="J886" i="2"/>
  <c r="C886" i="2"/>
  <c r="J885" i="2"/>
  <c r="C885" i="2"/>
  <c r="J884" i="2"/>
  <c r="C884" i="2"/>
  <c r="J883" i="2"/>
  <c r="C883" i="2"/>
  <c r="J882" i="2"/>
  <c r="C882" i="2"/>
  <c r="J881" i="2"/>
  <c r="C881" i="2"/>
  <c r="J880" i="2"/>
  <c r="C880" i="2"/>
  <c r="J879" i="2"/>
  <c r="C879" i="2"/>
  <c r="J878" i="2"/>
  <c r="C878" i="2"/>
  <c r="J877" i="2"/>
  <c r="C877" i="2"/>
  <c r="J876" i="2"/>
  <c r="C876" i="2"/>
  <c r="J875" i="2"/>
  <c r="C875" i="2"/>
  <c r="J874" i="2"/>
  <c r="C874" i="2"/>
  <c r="J873" i="2"/>
  <c r="C873" i="2"/>
  <c r="J872" i="2"/>
  <c r="C872" i="2"/>
  <c r="J871" i="2"/>
  <c r="C871" i="2"/>
  <c r="J870" i="2"/>
  <c r="C870" i="2"/>
  <c r="J869" i="2"/>
  <c r="C869" i="2"/>
  <c r="J868" i="2"/>
  <c r="C868" i="2"/>
  <c r="J867" i="2"/>
  <c r="C867" i="2"/>
  <c r="J866" i="2"/>
  <c r="C866" i="2"/>
  <c r="J865" i="2"/>
  <c r="C865" i="2"/>
  <c r="J864" i="2"/>
  <c r="C864" i="2"/>
  <c r="J863" i="2"/>
  <c r="C863" i="2"/>
  <c r="J862" i="2"/>
  <c r="C862" i="2"/>
  <c r="J861" i="2"/>
  <c r="C861" i="2"/>
  <c r="J860" i="2"/>
  <c r="C860" i="2"/>
  <c r="J859" i="2"/>
  <c r="C859" i="2"/>
  <c r="J858" i="2"/>
  <c r="C858" i="2"/>
  <c r="J857" i="2"/>
  <c r="C857" i="2"/>
  <c r="J856" i="2"/>
  <c r="C856" i="2"/>
  <c r="J855" i="2"/>
  <c r="C855" i="2"/>
  <c r="J854" i="2"/>
  <c r="C854" i="2"/>
  <c r="J853" i="2"/>
  <c r="C853" i="2"/>
  <c r="J852" i="2"/>
  <c r="C852" i="2"/>
  <c r="J851" i="2"/>
  <c r="C851" i="2"/>
  <c r="J850" i="2"/>
  <c r="C850" i="2"/>
  <c r="J849" i="2"/>
  <c r="C849" i="2"/>
  <c r="J848" i="2"/>
  <c r="C848" i="2"/>
  <c r="J847" i="2"/>
  <c r="C847" i="2"/>
  <c r="J846" i="2"/>
  <c r="C846" i="2"/>
  <c r="J845" i="2"/>
  <c r="C845" i="2"/>
  <c r="J844" i="2"/>
  <c r="C844" i="2"/>
  <c r="J843" i="2"/>
  <c r="C843" i="2"/>
  <c r="J842" i="2"/>
  <c r="C842" i="2"/>
  <c r="J841" i="2"/>
  <c r="C841" i="2"/>
  <c r="J840" i="2"/>
  <c r="C840" i="2"/>
  <c r="J839" i="2"/>
  <c r="C839" i="2"/>
  <c r="J838" i="2"/>
  <c r="C838" i="2"/>
  <c r="J837" i="2"/>
  <c r="C837" i="2"/>
  <c r="J836" i="2"/>
  <c r="C836" i="2"/>
  <c r="J835" i="2"/>
  <c r="C835" i="2"/>
  <c r="J834" i="2"/>
  <c r="C834" i="2"/>
  <c r="J833" i="2"/>
  <c r="C833" i="2"/>
  <c r="J832" i="2"/>
  <c r="C832" i="2"/>
  <c r="J831" i="2"/>
  <c r="C831" i="2"/>
  <c r="J830" i="2"/>
  <c r="C830" i="2"/>
  <c r="J829" i="2"/>
  <c r="C829" i="2"/>
  <c r="J828" i="2"/>
  <c r="C828" i="2"/>
  <c r="J827" i="2"/>
  <c r="C827" i="2"/>
  <c r="J826" i="2"/>
  <c r="C826" i="2"/>
  <c r="J825" i="2"/>
  <c r="C825" i="2"/>
  <c r="J824" i="2"/>
  <c r="C824" i="2"/>
  <c r="J823" i="2"/>
  <c r="C823" i="2"/>
  <c r="J822" i="2"/>
  <c r="C822" i="2"/>
  <c r="J821" i="2"/>
  <c r="C821" i="2"/>
  <c r="J820" i="2"/>
  <c r="C820" i="2"/>
  <c r="J819" i="2"/>
  <c r="C819" i="2"/>
  <c r="J818" i="2"/>
  <c r="C818" i="2"/>
  <c r="J817" i="2"/>
  <c r="C817" i="2"/>
  <c r="J816" i="2"/>
  <c r="C816" i="2"/>
  <c r="J815" i="2"/>
  <c r="C815" i="2"/>
  <c r="J814" i="2"/>
  <c r="C814" i="2"/>
  <c r="J813" i="2"/>
  <c r="C813" i="2"/>
  <c r="J812" i="2"/>
  <c r="C812" i="2"/>
  <c r="J811" i="2"/>
  <c r="C811" i="2"/>
  <c r="J810" i="2"/>
  <c r="C810" i="2"/>
  <c r="J809" i="2"/>
  <c r="C809" i="2"/>
  <c r="J808" i="2"/>
  <c r="C808" i="2"/>
  <c r="J807" i="2"/>
  <c r="C807" i="2"/>
  <c r="J806" i="2"/>
  <c r="C806" i="2"/>
  <c r="J805" i="2"/>
  <c r="C805" i="2"/>
  <c r="J804" i="2"/>
  <c r="C804" i="2"/>
  <c r="J803" i="2"/>
  <c r="C803" i="2"/>
  <c r="J802" i="2"/>
  <c r="C802" i="2"/>
  <c r="J801" i="2"/>
  <c r="C801" i="2"/>
  <c r="J800" i="2"/>
  <c r="C800" i="2"/>
  <c r="J799" i="2"/>
  <c r="C799" i="2"/>
  <c r="J798" i="2"/>
  <c r="C798" i="2"/>
  <c r="J797" i="2"/>
  <c r="C797" i="2"/>
  <c r="J796" i="2"/>
  <c r="C796" i="2"/>
  <c r="J795" i="2"/>
  <c r="C795" i="2"/>
  <c r="J794" i="2"/>
  <c r="C794" i="2"/>
  <c r="J793" i="2"/>
  <c r="C793" i="2"/>
  <c r="J792" i="2"/>
  <c r="C792" i="2"/>
  <c r="J791" i="2"/>
  <c r="C791" i="2"/>
  <c r="J790" i="2"/>
  <c r="C790" i="2"/>
  <c r="J789" i="2"/>
  <c r="C789" i="2"/>
  <c r="J788" i="2"/>
  <c r="C788" i="2"/>
  <c r="J787" i="2"/>
  <c r="C787" i="2"/>
  <c r="J786" i="2"/>
  <c r="C786" i="2"/>
  <c r="J785" i="2"/>
  <c r="C785" i="2"/>
  <c r="J784" i="2"/>
  <c r="C784" i="2"/>
  <c r="J783" i="2"/>
  <c r="C783" i="2"/>
  <c r="J782" i="2"/>
  <c r="C782" i="2"/>
  <c r="J781" i="2"/>
  <c r="C781" i="2"/>
  <c r="J780" i="2"/>
  <c r="C780" i="2"/>
  <c r="J779" i="2"/>
  <c r="C779" i="2"/>
  <c r="J778" i="2"/>
  <c r="C778" i="2"/>
  <c r="J777" i="2"/>
  <c r="C777" i="2"/>
  <c r="J776" i="2"/>
  <c r="C776" i="2"/>
  <c r="J775" i="2"/>
  <c r="C775" i="2"/>
  <c r="J774" i="2"/>
  <c r="C774" i="2"/>
  <c r="J773" i="2"/>
  <c r="C773" i="2"/>
  <c r="J772" i="2"/>
  <c r="C772" i="2"/>
  <c r="J771" i="2"/>
  <c r="C771" i="2"/>
  <c r="J770" i="2"/>
  <c r="C770" i="2"/>
  <c r="J769" i="2"/>
  <c r="C769" i="2"/>
  <c r="J768" i="2"/>
  <c r="C768" i="2"/>
  <c r="J767" i="2"/>
  <c r="C767" i="2"/>
  <c r="J766" i="2"/>
  <c r="C766" i="2"/>
  <c r="J765" i="2"/>
  <c r="C765" i="2"/>
  <c r="J764" i="2"/>
  <c r="C764" i="2"/>
  <c r="J763" i="2"/>
  <c r="C763" i="2"/>
  <c r="J762" i="2"/>
  <c r="C762" i="2"/>
  <c r="J761" i="2"/>
  <c r="C761" i="2"/>
  <c r="J760" i="2"/>
  <c r="C760" i="2"/>
  <c r="J759" i="2"/>
  <c r="C759" i="2"/>
  <c r="J758" i="2"/>
  <c r="C758" i="2"/>
  <c r="J757" i="2"/>
  <c r="C757" i="2"/>
  <c r="J756" i="2"/>
  <c r="C756" i="2"/>
  <c r="J755" i="2"/>
  <c r="C755" i="2"/>
  <c r="J754" i="2"/>
  <c r="C754" i="2"/>
  <c r="J753" i="2"/>
  <c r="C753" i="2"/>
  <c r="J752" i="2"/>
  <c r="C752" i="2"/>
  <c r="J751" i="2"/>
  <c r="C751" i="2"/>
  <c r="J750" i="2"/>
  <c r="C750" i="2"/>
  <c r="J749" i="2"/>
  <c r="C749" i="2"/>
  <c r="J748" i="2"/>
  <c r="C748" i="2"/>
  <c r="J747" i="2"/>
  <c r="C747" i="2"/>
  <c r="J746" i="2"/>
  <c r="C746" i="2"/>
  <c r="J745" i="2"/>
  <c r="C745" i="2"/>
  <c r="J744" i="2"/>
  <c r="C744" i="2"/>
  <c r="J743" i="2"/>
  <c r="C743" i="2"/>
  <c r="J742" i="2"/>
  <c r="C742" i="2"/>
  <c r="J741" i="2"/>
  <c r="C741" i="2"/>
  <c r="J740" i="2"/>
  <c r="C740" i="2"/>
  <c r="J739" i="2"/>
  <c r="C739" i="2"/>
  <c r="J738" i="2"/>
  <c r="C738" i="2"/>
  <c r="J737" i="2"/>
  <c r="C737" i="2"/>
  <c r="J736" i="2"/>
  <c r="C736" i="2"/>
  <c r="J735" i="2"/>
  <c r="C735" i="2"/>
  <c r="J734" i="2"/>
  <c r="C734" i="2"/>
  <c r="J733" i="2"/>
  <c r="C733" i="2"/>
  <c r="J732" i="2"/>
  <c r="C732" i="2"/>
  <c r="J731" i="2"/>
  <c r="C731" i="2"/>
  <c r="J730" i="2"/>
  <c r="C730" i="2"/>
  <c r="J729" i="2"/>
  <c r="C729" i="2"/>
  <c r="J728" i="2"/>
  <c r="C728" i="2"/>
  <c r="J727" i="2"/>
  <c r="C727" i="2"/>
  <c r="J726" i="2"/>
  <c r="C726" i="2"/>
  <c r="J725" i="2"/>
  <c r="C725" i="2"/>
  <c r="J724" i="2"/>
  <c r="C724" i="2"/>
  <c r="J723" i="2"/>
  <c r="C723" i="2"/>
  <c r="J722" i="2"/>
  <c r="C722" i="2"/>
  <c r="J721" i="2"/>
  <c r="C721" i="2"/>
  <c r="J720" i="2"/>
  <c r="C720" i="2"/>
  <c r="J719" i="2"/>
  <c r="C719" i="2"/>
  <c r="J718" i="2"/>
  <c r="C718" i="2"/>
  <c r="J717" i="2"/>
  <c r="C717" i="2"/>
  <c r="J716" i="2"/>
  <c r="C716" i="2"/>
  <c r="J715" i="2"/>
  <c r="C715" i="2"/>
  <c r="J714" i="2"/>
  <c r="C714" i="2"/>
  <c r="J713" i="2"/>
  <c r="C713" i="2"/>
  <c r="J712" i="2"/>
  <c r="C712" i="2"/>
  <c r="J711" i="2"/>
  <c r="C711" i="2"/>
  <c r="J710" i="2"/>
  <c r="C710" i="2"/>
  <c r="J709" i="2"/>
  <c r="C709" i="2"/>
  <c r="J708" i="2"/>
  <c r="C708" i="2"/>
  <c r="J707" i="2"/>
  <c r="C707" i="2"/>
  <c r="J706" i="2"/>
  <c r="C706" i="2"/>
  <c r="J705" i="2"/>
  <c r="C705" i="2"/>
  <c r="J704" i="2"/>
  <c r="C704" i="2"/>
  <c r="J703" i="2"/>
  <c r="C703" i="2"/>
  <c r="J702" i="2"/>
  <c r="C702" i="2"/>
  <c r="J701" i="2"/>
  <c r="C701" i="2"/>
  <c r="J700" i="2"/>
  <c r="C700" i="2"/>
  <c r="J699" i="2"/>
  <c r="C699" i="2"/>
  <c r="J698" i="2"/>
  <c r="C698" i="2"/>
  <c r="J697" i="2"/>
  <c r="C697" i="2"/>
  <c r="J696" i="2"/>
  <c r="C696" i="2"/>
  <c r="J695" i="2"/>
  <c r="C695" i="2"/>
  <c r="J694" i="2"/>
  <c r="C694" i="2"/>
  <c r="J693" i="2"/>
  <c r="C693" i="2"/>
  <c r="J692" i="2"/>
  <c r="C692" i="2"/>
  <c r="J691" i="2"/>
  <c r="C691" i="2"/>
  <c r="J690" i="2"/>
  <c r="C690" i="2"/>
  <c r="J689" i="2"/>
  <c r="C689" i="2"/>
  <c r="J688" i="2"/>
  <c r="C688" i="2"/>
  <c r="J687" i="2"/>
  <c r="C687" i="2"/>
  <c r="J686" i="2"/>
  <c r="C686" i="2"/>
  <c r="J685" i="2"/>
  <c r="C685" i="2"/>
  <c r="J684" i="2"/>
  <c r="C684" i="2"/>
  <c r="J683" i="2"/>
  <c r="C683" i="2"/>
  <c r="J682" i="2"/>
  <c r="C682" i="2"/>
  <c r="J681" i="2"/>
  <c r="C681" i="2"/>
  <c r="J680" i="2"/>
  <c r="C680" i="2"/>
  <c r="J679" i="2"/>
  <c r="C679" i="2"/>
  <c r="J678" i="2"/>
  <c r="C678" i="2"/>
  <c r="J677" i="2"/>
  <c r="C677" i="2"/>
  <c r="J676" i="2"/>
  <c r="C676" i="2"/>
  <c r="J675" i="2"/>
  <c r="C675" i="2"/>
  <c r="J674" i="2"/>
  <c r="C674" i="2"/>
  <c r="J673" i="2"/>
  <c r="C673" i="2"/>
  <c r="J672" i="2"/>
  <c r="C672" i="2"/>
  <c r="J671" i="2"/>
  <c r="C671" i="2"/>
  <c r="J670" i="2"/>
  <c r="C670" i="2"/>
  <c r="J669" i="2"/>
  <c r="C669" i="2"/>
  <c r="J668" i="2"/>
  <c r="C668" i="2"/>
  <c r="J667" i="2"/>
  <c r="C667" i="2"/>
  <c r="J666" i="2"/>
  <c r="C666" i="2"/>
  <c r="J665" i="2"/>
  <c r="C665" i="2"/>
  <c r="J664" i="2"/>
  <c r="C664" i="2"/>
  <c r="J663" i="2"/>
  <c r="C663" i="2"/>
  <c r="J662" i="2"/>
  <c r="C662" i="2"/>
  <c r="J661" i="2"/>
  <c r="C661" i="2"/>
  <c r="J660" i="2"/>
  <c r="C660" i="2"/>
  <c r="J659" i="2"/>
  <c r="C659" i="2"/>
  <c r="J658" i="2"/>
  <c r="C658" i="2"/>
  <c r="J657" i="2"/>
  <c r="C657" i="2"/>
  <c r="J656" i="2"/>
  <c r="C656" i="2"/>
  <c r="J655" i="2"/>
  <c r="C655" i="2"/>
  <c r="J654" i="2"/>
  <c r="C654" i="2"/>
  <c r="J653" i="2"/>
  <c r="C653" i="2"/>
  <c r="J652" i="2"/>
  <c r="C652" i="2"/>
  <c r="J651" i="2"/>
  <c r="C651" i="2"/>
  <c r="J650" i="2"/>
  <c r="C650" i="2"/>
  <c r="J649" i="2"/>
  <c r="C649" i="2"/>
  <c r="J648" i="2"/>
  <c r="C648" i="2"/>
  <c r="J647" i="2"/>
  <c r="C647" i="2"/>
  <c r="J646" i="2"/>
  <c r="C646" i="2"/>
  <c r="J645" i="2"/>
  <c r="C645" i="2"/>
  <c r="J644" i="2"/>
  <c r="C644" i="2"/>
  <c r="J643" i="2"/>
  <c r="C643" i="2"/>
  <c r="J642" i="2"/>
  <c r="C642" i="2"/>
  <c r="J641" i="2"/>
  <c r="C641" i="2"/>
  <c r="J640" i="2"/>
  <c r="C640" i="2"/>
  <c r="J639" i="2"/>
  <c r="C639" i="2"/>
  <c r="J638" i="2"/>
  <c r="C638" i="2"/>
  <c r="J637" i="2"/>
  <c r="C637" i="2"/>
  <c r="J636" i="2"/>
  <c r="C636" i="2"/>
  <c r="J635" i="2"/>
  <c r="C635" i="2"/>
  <c r="J634" i="2"/>
  <c r="C634" i="2"/>
  <c r="J633" i="2"/>
  <c r="C633" i="2"/>
  <c r="J632" i="2"/>
  <c r="C632" i="2"/>
  <c r="J631" i="2"/>
  <c r="C631" i="2"/>
  <c r="J630" i="2"/>
  <c r="C630" i="2"/>
  <c r="J629" i="2"/>
  <c r="C629" i="2"/>
  <c r="J628" i="2"/>
  <c r="C628" i="2"/>
  <c r="J627" i="2"/>
  <c r="C627" i="2"/>
  <c r="J626" i="2"/>
  <c r="C626" i="2"/>
  <c r="J625" i="2"/>
  <c r="C625" i="2"/>
  <c r="J624" i="2"/>
  <c r="C624" i="2"/>
  <c r="J623" i="2"/>
  <c r="C623" i="2"/>
  <c r="J622" i="2"/>
  <c r="C622" i="2"/>
  <c r="J621" i="2"/>
  <c r="C621" i="2"/>
  <c r="J620" i="2"/>
  <c r="C620" i="2"/>
  <c r="J619" i="2"/>
  <c r="C619" i="2"/>
  <c r="J618" i="2"/>
  <c r="C618" i="2"/>
  <c r="J617" i="2"/>
  <c r="C617" i="2"/>
  <c r="J616" i="2"/>
  <c r="C616" i="2"/>
  <c r="J615" i="2"/>
  <c r="C615" i="2"/>
  <c r="J614" i="2"/>
  <c r="C614" i="2"/>
  <c r="J613" i="2"/>
  <c r="C613" i="2"/>
  <c r="J612" i="2"/>
  <c r="C612" i="2"/>
  <c r="J611" i="2"/>
  <c r="C611" i="2"/>
  <c r="J610" i="2"/>
  <c r="C610" i="2"/>
  <c r="J609" i="2"/>
  <c r="C609" i="2"/>
  <c r="J608" i="2"/>
  <c r="C608" i="2"/>
  <c r="J607" i="2"/>
  <c r="C607" i="2"/>
  <c r="J606" i="2"/>
  <c r="C606" i="2"/>
  <c r="J605" i="2"/>
  <c r="C605" i="2"/>
  <c r="J604" i="2"/>
  <c r="C604" i="2"/>
  <c r="J603" i="2"/>
  <c r="C603" i="2"/>
  <c r="J602" i="2"/>
  <c r="C602" i="2"/>
  <c r="J601" i="2"/>
  <c r="C601" i="2"/>
  <c r="J600" i="2"/>
  <c r="C600" i="2"/>
  <c r="J599" i="2"/>
  <c r="C599" i="2"/>
  <c r="J598" i="2"/>
  <c r="C598" i="2"/>
  <c r="J597" i="2"/>
  <c r="C597" i="2"/>
  <c r="J596" i="2"/>
  <c r="C596" i="2"/>
  <c r="J595" i="2"/>
  <c r="C595" i="2"/>
  <c r="J594" i="2"/>
  <c r="C594" i="2"/>
  <c r="J593" i="2"/>
  <c r="C593" i="2"/>
  <c r="J592" i="2"/>
  <c r="C592" i="2"/>
  <c r="J591" i="2"/>
  <c r="C591" i="2"/>
  <c r="J590" i="2"/>
  <c r="C590" i="2"/>
  <c r="J589" i="2"/>
  <c r="C589" i="2"/>
  <c r="J588" i="2"/>
  <c r="C588" i="2"/>
  <c r="J587" i="2"/>
  <c r="C587" i="2"/>
  <c r="J586" i="2"/>
  <c r="C586" i="2"/>
  <c r="J585" i="2"/>
  <c r="C585" i="2"/>
  <c r="J584" i="2"/>
  <c r="C584" i="2"/>
  <c r="J583" i="2"/>
  <c r="C583" i="2"/>
  <c r="J582" i="2"/>
  <c r="C582" i="2"/>
  <c r="J581" i="2"/>
  <c r="C581" i="2"/>
  <c r="J580" i="2"/>
  <c r="C580" i="2"/>
  <c r="J579" i="2"/>
  <c r="C579" i="2"/>
  <c r="J578" i="2"/>
  <c r="C578" i="2"/>
  <c r="J577" i="2"/>
  <c r="C577" i="2"/>
  <c r="J576" i="2"/>
  <c r="C576" i="2"/>
  <c r="J575" i="2"/>
  <c r="C575" i="2"/>
  <c r="J574" i="2"/>
  <c r="C574" i="2"/>
  <c r="J573" i="2"/>
  <c r="C573" i="2"/>
  <c r="J572" i="2"/>
  <c r="C572" i="2"/>
  <c r="J571" i="2"/>
  <c r="C571" i="2"/>
  <c r="J570" i="2"/>
  <c r="C570" i="2"/>
  <c r="J569" i="2"/>
  <c r="C569" i="2"/>
  <c r="J568" i="2"/>
  <c r="C568" i="2"/>
  <c r="J567" i="2"/>
  <c r="C567" i="2"/>
  <c r="J566" i="2"/>
  <c r="C566" i="2"/>
  <c r="J565" i="2"/>
  <c r="C565" i="2"/>
  <c r="J564" i="2"/>
  <c r="C564" i="2"/>
  <c r="J563" i="2"/>
  <c r="C563" i="2"/>
  <c r="J562" i="2"/>
  <c r="C562" i="2"/>
  <c r="J561" i="2"/>
  <c r="C561" i="2"/>
  <c r="J560" i="2"/>
  <c r="C560" i="2"/>
  <c r="J559" i="2"/>
  <c r="C559" i="2"/>
  <c r="J558" i="2"/>
  <c r="C558" i="2"/>
  <c r="J557" i="2"/>
  <c r="C557" i="2"/>
  <c r="J556" i="2"/>
  <c r="C556" i="2"/>
  <c r="J555" i="2"/>
  <c r="C555" i="2"/>
  <c r="J554" i="2"/>
  <c r="C554" i="2"/>
  <c r="J553" i="2"/>
  <c r="C553" i="2"/>
  <c r="J552" i="2"/>
  <c r="C552" i="2"/>
  <c r="J551" i="2"/>
  <c r="C551" i="2"/>
  <c r="J550" i="2"/>
  <c r="C550" i="2"/>
  <c r="J549" i="2"/>
  <c r="C549" i="2"/>
  <c r="J548" i="2"/>
  <c r="C548" i="2"/>
  <c r="J547" i="2"/>
  <c r="C547" i="2"/>
  <c r="J546" i="2"/>
  <c r="C546" i="2"/>
  <c r="J545" i="2"/>
  <c r="C545" i="2"/>
  <c r="J544" i="2"/>
  <c r="C544" i="2"/>
  <c r="J543" i="2"/>
  <c r="C543" i="2"/>
  <c r="J542" i="2"/>
  <c r="C542" i="2"/>
  <c r="J541" i="2"/>
  <c r="C541" i="2"/>
  <c r="J540" i="2"/>
  <c r="C540" i="2"/>
  <c r="J539" i="2"/>
  <c r="C539" i="2"/>
  <c r="J538" i="2"/>
  <c r="C538" i="2"/>
  <c r="J537" i="2"/>
  <c r="C537" i="2"/>
  <c r="J536" i="2"/>
  <c r="C536" i="2"/>
  <c r="J535" i="2"/>
  <c r="C535" i="2"/>
  <c r="J534" i="2"/>
  <c r="C534" i="2"/>
  <c r="J533" i="2"/>
  <c r="C533" i="2"/>
  <c r="J532" i="2"/>
  <c r="C532" i="2"/>
  <c r="J531" i="2"/>
  <c r="C531" i="2"/>
  <c r="J530" i="2"/>
  <c r="C530" i="2"/>
  <c r="J529" i="2"/>
  <c r="C529" i="2"/>
  <c r="J528" i="2"/>
  <c r="C528" i="2"/>
  <c r="J527" i="2"/>
  <c r="C527" i="2"/>
  <c r="J526" i="2"/>
  <c r="C526" i="2"/>
  <c r="J525" i="2"/>
  <c r="C525" i="2"/>
  <c r="J524" i="2"/>
  <c r="C524" i="2"/>
  <c r="J523" i="2"/>
  <c r="C523" i="2"/>
  <c r="J522" i="2"/>
  <c r="C522" i="2"/>
  <c r="J521" i="2"/>
  <c r="C521" i="2"/>
  <c r="J520" i="2"/>
  <c r="C520" i="2"/>
  <c r="J519" i="2"/>
  <c r="C519" i="2"/>
  <c r="J518" i="2"/>
  <c r="C518" i="2"/>
  <c r="J517" i="2"/>
  <c r="C517" i="2"/>
  <c r="J516" i="2"/>
  <c r="C516" i="2"/>
  <c r="J515" i="2"/>
  <c r="C515" i="2"/>
  <c r="J514" i="2"/>
  <c r="C514" i="2"/>
  <c r="J513" i="2"/>
  <c r="C513" i="2"/>
  <c r="J512" i="2"/>
  <c r="C512" i="2"/>
  <c r="J511" i="2"/>
  <c r="C511" i="2"/>
  <c r="J510" i="2"/>
  <c r="C510" i="2"/>
  <c r="J509" i="2"/>
  <c r="C509" i="2"/>
  <c r="J508" i="2"/>
  <c r="C508" i="2"/>
  <c r="J507" i="2"/>
  <c r="C507" i="2"/>
  <c r="J506" i="2"/>
  <c r="C506" i="2"/>
  <c r="J505" i="2"/>
  <c r="C505" i="2"/>
  <c r="J504" i="2"/>
  <c r="C504" i="2"/>
  <c r="J503" i="2"/>
  <c r="C503" i="2"/>
  <c r="J502" i="2"/>
  <c r="C502" i="2"/>
  <c r="J501" i="2"/>
  <c r="C501" i="2"/>
  <c r="J500" i="2"/>
  <c r="C500" i="2"/>
  <c r="J499" i="2"/>
  <c r="C499" i="2"/>
  <c r="J498" i="2"/>
  <c r="C498" i="2"/>
  <c r="J497" i="2"/>
  <c r="C497" i="2"/>
  <c r="J496" i="2"/>
  <c r="C496" i="2"/>
  <c r="J495" i="2"/>
  <c r="C495" i="2"/>
  <c r="J494" i="2"/>
  <c r="C494" i="2"/>
  <c r="J493" i="2"/>
  <c r="C493" i="2"/>
  <c r="J492" i="2"/>
  <c r="C492" i="2"/>
  <c r="J491" i="2"/>
  <c r="C491" i="2"/>
  <c r="J490" i="2"/>
  <c r="C490" i="2"/>
  <c r="J489" i="2"/>
  <c r="C489" i="2"/>
  <c r="J488" i="2"/>
  <c r="C488" i="2"/>
  <c r="J487" i="2"/>
  <c r="C487" i="2"/>
  <c r="J486" i="2"/>
  <c r="C486" i="2"/>
  <c r="J485" i="2"/>
  <c r="C485" i="2"/>
  <c r="J484" i="2"/>
  <c r="C484" i="2"/>
  <c r="J483" i="2"/>
  <c r="C483" i="2"/>
  <c r="J482" i="2"/>
  <c r="C482" i="2"/>
  <c r="J481" i="2"/>
  <c r="C481" i="2"/>
  <c r="J480" i="2"/>
  <c r="C480" i="2"/>
  <c r="J479" i="2"/>
  <c r="C479" i="2"/>
  <c r="J478" i="2"/>
  <c r="C478" i="2"/>
  <c r="J477" i="2"/>
  <c r="C477" i="2"/>
  <c r="J476" i="2"/>
  <c r="C476" i="2"/>
  <c r="J475" i="2"/>
  <c r="C475" i="2"/>
  <c r="J474" i="2"/>
  <c r="C474" i="2"/>
  <c r="J473" i="2"/>
  <c r="C473" i="2"/>
  <c r="J472" i="2"/>
  <c r="C472" i="2"/>
  <c r="J471" i="2"/>
  <c r="C471" i="2"/>
  <c r="J470" i="2"/>
  <c r="C470" i="2"/>
  <c r="J469" i="2"/>
  <c r="C469" i="2"/>
  <c r="J468" i="2"/>
  <c r="C468" i="2"/>
  <c r="J467" i="2"/>
  <c r="C467" i="2"/>
  <c r="J466" i="2"/>
  <c r="C466" i="2"/>
  <c r="J465" i="2"/>
  <c r="C465" i="2"/>
  <c r="J464" i="2"/>
  <c r="C464" i="2"/>
  <c r="J463" i="2"/>
  <c r="C463" i="2"/>
  <c r="J462" i="2"/>
  <c r="C462" i="2"/>
  <c r="J461" i="2"/>
  <c r="C461" i="2"/>
  <c r="J460" i="2"/>
  <c r="C460" i="2"/>
  <c r="J459" i="2"/>
  <c r="C459" i="2"/>
  <c r="J458" i="2"/>
  <c r="C458" i="2"/>
  <c r="J457" i="2"/>
  <c r="C457" i="2"/>
  <c r="J456" i="2"/>
  <c r="C456" i="2"/>
  <c r="J455" i="2"/>
  <c r="C455" i="2"/>
  <c r="J454" i="2"/>
  <c r="C454" i="2"/>
  <c r="J453" i="2"/>
  <c r="C453" i="2"/>
  <c r="J452" i="2"/>
  <c r="C452" i="2"/>
  <c r="J451" i="2"/>
  <c r="C451" i="2"/>
  <c r="J450" i="2"/>
  <c r="C450" i="2"/>
  <c r="J449" i="2"/>
  <c r="C449" i="2"/>
  <c r="J448" i="2"/>
  <c r="C448" i="2"/>
  <c r="J447" i="2"/>
  <c r="C447" i="2"/>
  <c r="J446" i="2"/>
  <c r="C446" i="2"/>
  <c r="J445" i="2"/>
  <c r="C445" i="2"/>
  <c r="J444" i="2"/>
  <c r="C444" i="2"/>
  <c r="J443" i="2"/>
  <c r="C443" i="2"/>
  <c r="J442" i="2"/>
  <c r="C442" i="2"/>
  <c r="J441" i="2"/>
  <c r="C441" i="2"/>
  <c r="J440" i="2"/>
  <c r="C440" i="2"/>
  <c r="J439" i="2"/>
  <c r="C439" i="2"/>
  <c r="J438" i="2"/>
  <c r="C438" i="2"/>
  <c r="J437" i="2"/>
  <c r="C437" i="2"/>
  <c r="J436" i="2"/>
  <c r="C436" i="2"/>
  <c r="J435" i="2"/>
  <c r="C435" i="2"/>
  <c r="J434" i="2"/>
  <c r="C434" i="2"/>
  <c r="J433" i="2"/>
  <c r="C433" i="2"/>
  <c r="J432" i="2"/>
  <c r="C432" i="2"/>
  <c r="J431" i="2"/>
  <c r="C431" i="2"/>
  <c r="J430" i="2"/>
  <c r="C430" i="2"/>
  <c r="J429" i="2"/>
  <c r="C429" i="2"/>
  <c r="J428" i="2"/>
  <c r="C428" i="2"/>
  <c r="J427" i="2"/>
  <c r="C427" i="2"/>
  <c r="J426" i="2"/>
  <c r="C426" i="2"/>
  <c r="J425" i="2"/>
  <c r="C425" i="2"/>
  <c r="J424" i="2"/>
  <c r="C424" i="2"/>
  <c r="J423" i="2"/>
  <c r="C423" i="2"/>
  <c r="J422" i="2"/>
  <c r="C422" i="2"/>
  <c r="J421" i="2"/>
  <c r="C421" i="2"/>
  <c r="J420" i="2"/>
  <c r="C420" i="2"/>
  <c r="J419" i="2"/>
  <c r="C419" i="2"/>
  <c r="J418" i="2"/>
  <c r="C418" i="2"/>
  <c r="J417" i="2"/>
  <c r="C417" i="2"/>
  <c r="J416" i="2"/>
  <c r="C416" i="2"/>
  <c r="J415" i="2"/>
  <c r="C415" i="2"/>
  <c r="J414" i="2"/>
  <c r="C414" i="2"/>
  <c r="J413" i="2"/>
  <c r="C413" i="2"/>
  <c r="J412" i="2"/>
  <c r="C412" i="2"/>
  <c r="J411" i="2"/>
  <c r="C411" i="2"/>
  <c r="J410" i="2"/>
  <c r="C410" i="2"/>
  <c r="J409" i="2"/>
  <c r="C409" i="2"/>
  <c r="J408" i="2"/>
  <c r="C408" i="2"/>
  <c r="J407" i="2"/>
  <c r="C407" i="2"/>
  <c r="J406" i="2"/>
  <c r="C406" i="2"/>
  <c r="J405" i="2"/>
  <c r="C405" i="2"/>
  <c r="J404" i="2"/>
  <c r="C404" i="2"/>
  <c r="J403" i="2"/>
  <c r="C403" i="2"/>
  <c r="J402" i="2"/>
  <c r="C402" i="2"/>
  <c r="J401" i="2"/>
  <c r="C401" i="2"/>
  <c r="J400" i="2"/>
  <c r="C400" i="2"/>
  <c r="J399" i="2"/>
  <c r="C399" i="2"/>
  <c r="J398" i="2"/>
  <c r="C398" i="2"/>
  <c r="J397" i="2"/>
  <c r="C397" i="2"/>
  <c r="J396" i="2"/>
  <c r="C396" i="2"/>
  <c r="J395" i="2"/>
  <c r="C395" i="2"/>
  <c r="J394" i="2"/>
  <c r="C394" i="2"/>
  <c r="J393" i="2"/>
  <c r="C393" i="2"/>
  <c r="J392" i="2"/>
  <c r="C392" i="2"/>
  <c r="J391" i="2"/>
  <c r="C391" i="2"/>
  <c r="J390" i="2"/>
  <c r="C390" i="2"/>
  <c r="J389" i="2"/>
  <c r="C389" i="2"/>
  <c r="J388" i="2"/>
  <c r="C388" i="2"/>
  <c r="J387" i="2"/>
  <c r="C387" i="2"/>
  <c r="J386" i="2"/>
  <c r="C386" i="2"/>
  <c r="J385" i="2"/>
  <c r="C385" i="2"/>
  <c r="J384" i="2"/>
  <c r="C384" i="2"/>
  <c r="J383" i="2"/>
  <c r="C383" i="2"/>
  <c r="J382" i="2"/>
  <c r="C382" i="2"/>
  <c r="J381" i="2"/>
  <c r="C381" i="2"/>
  <c r="J380" i="2"/>
  <c r="C380" i="2"/>
  <c r="J379" i="2"/>
  <c r="C379" i="2"/>
  <c r="J378" i="2"/>
  <c r="C378" i="2"/>
  <c r="J377" i="2"/>
  <c r="C377" i="2"/>
  <c r="J376" i="2"/>
  <c r="C376" i="2"/>
  <c r="J375" i="2"/>
  <c r="C375" i="2"/>
  <c r="J374" i="2"/>
  <c r="C374" i="2"/>
  <c r="J373" i="2"/>
  <c r="C373" i="2"/>
  <c r="J372" i="2"/>
  <c r="C372" i="2"/>
  <c r="J371" i="2"/>
  <c r="C371" i="2"/>
  <c r="J370" i="2"/>
  <c r="C370" i="2"/>
  <c r="J369" i="2"/>
  <c r="C369" i="2"/>
  <c r="J368" i="2"/>
  <c r="C368" i="2"/>
  <c r="J367" i="2"/>
  <c r="C367" i="2"/>
  <c r="J366" i="2"/>
  <c r="C366" i="2"/>
  <c r="J365" i="2"/>
  <c r="C365" i="2"/>
  <c r="J364" i="2"/>
  <c r="C364" i="2"/>
  <c r="J363" i="2"/>
  <c r="C363" i="2"/>
  <c r="J362" i="2"/>
  <c r="C362" i="2"/>
  <c r="J361" i="2"/>
  <c r="C361" i="2"/>
  <c r="J360" i="2"/>
  <c r="C360" i="2"/>
  <c r="J359" i="2"/>
  <c r="C359" i="2"/>
  <c r="J358" i="2"/>
  <c r="C358" i="2"/>
  <c r="J357" i="2"/>
  <c r="C357" i="2"/>
  <c r="J356" i="2"/>
  <c r="C356" i="2"/>
  <c r="J355" i="2"/>
  <c r="C355" i="2"/>
  <c r="J354" i="2"/>
  <c r="C354" i="2"/>
  <c r="J353" i="2"/>
  <c r="C353" i="2"/>
  <c r="J352" i="2"/>
  <c r="C352" i="2"/>
  <c r="J351" i="2"/>
  <c r="C351" i="2"/>
  <c r="J350" i="2"/>
  <c r="C350" i="2"/>
  <c r="J349" i="2"/>
  <c r="C349" i="2"/>
  <c r="J348" i="2"/>
  <c r="C348" i="2"/>
  <c r="J347" i="2"/>
  <c r="C347" i="2"/>
  <c r="J346" i="2"/>
  <c r="C346" i="2"/>
  <c r="J345" i="2"/>
  <c r="C345" i="2"/>
  <c r="J344" i="2"/>
  <c r="C344" i="2"/>
  <c r="J343" i="2"/>
  <c r="C343" i="2"/>
  <c r="J342" i="2"/>
  <c r="C342" i="2"/>
  <c r="J341" i="2"/>
  <c r="C341" i="2"/>
  <c r="J340" i="2"/>
  <c r="C340" i="2"/>
  <c r="J339" i="2"/>
  <c r="C339" i="2"/>
  <c r="J338" i="2"/>
  <c r="C338" i="2"/>
  <c r="J337" i="2"/>
  <c r="C337" i="2"/>
  <c r="J336" i="2"/>
  <c r="C336" i="2"/>
  <c r="J335" i="2"/>
  <c r="C335" i="2"/>
  <c r="J334" i="2"/>
  <c r="C334" i="2"/>
  <c r="J333" i="2"/>
  <c r="C333" i="2"/>
  <c r="J332" i="2"/>
  <c r="C332" i="2"/>
  <c r="J331" i="2"/>
  <c r="C331" i="2"/>
  <c r="J330" i="2"/>
  <c r="C330" i="2"/>
  <c r="J329" i="2"/>
  <c r="C329" i="2"/>
  <c r="J328" i="2"/>
  <c r="C328" i="2"/>
  <c r="J327" i="2"/>
  <c r="C327" i="2"/>
  <c r="J326" i="2"/>
  <c r="C326" i="2"/>
  <c r="J325" i="2"/>
  <c r="C325" i="2"/>
  <c r="J324" i="2"/>
  <c r="C324" i="2"/>
  <c r="J323" i="2"/>
  <c r="C323" i="2"/>
  <c r="J322" i="2"/>
  <c r="C322" i="2"/>
  <c r="J321" i="2"/>
  <c r="C321" i="2"/>
  <c r="J320" i="2"/>
  <c r="C320" i="2"/>
  <c r="J319" i="2"/>
  <c r="C319" i="2"/>
  <c r="J318" i="2"/>
  <c r="C318" i="2"/>
  <c r="J317" i="2"/>
  <c r="C317" i="2"/>
  <c r="J316" i="2"/>
  <c r="C316" i="2"/>
  <c r="J315" i="2"/>
  <c r="C315" i="2"/>
  <c r="J314" i="2"/>
  <c r="C314" i="2"/>
  <c r="J313" i="2"/>
  <c r="C313" i="2"/>
  <c r="J312" i="2"/>
  <c r="C312" i="2"/>
  <c r="J311" i="2"/>
  <c r="C311" i="2"/>
  <c r="J310" i="2"/>
  <c r="C310" i="2"/>
  <c r="J309" i="2"/>
  <c r="C309" i="2"/>
  <c r="J308" i="2"/>
  <c r="C308" i="2"/>
  <c r="J307" i="2"/>
  <c r="C307" i="2"/>
  <c r="J306" i="2"/>
  <c r="C306" i="2"/>
  <c r="J305" i="2"/>
  <c r="C305" i="2"/>
  <c r="J304" i="2"/>
  <c r="C304" i="2"/>
  <c r="J303" i="2"/>
  <c r="C303" i="2"/>
  <c r="J302" i="2"/>
  <c r="C302" i="2"/>
  <c r="J301" i="2"/>
  <c r="C301" i="2"/>
  <c r="J300" i="2"/>
  <c r="C300" i="2"/>
  <c r="J299" i="2"/>
  <c r="C299" i="2"/>
  <c r="J298" i="2"/>
  <c r="C298" i="2"/>
  <c r="J297" i="2"/>
  <c r="C297" i="2"/>
  <c r="J296" i="2"/>
  <c r="C296" i="2"/>
  <c r="J295" i="2"/>
  <c r="C295" i="2"/>
  <c r="J294" i="2"/>
  <c r="C294" i="2"/>
  <c r="J293" i="2"/>
  <c r="C293" i="2"/>
  <c r="J292" i="2"/>
  <c r="C292" i="2"/>
  <c r="J291" i="2"/>
  <c r="C291" i="2"/>
  <c r="J290" i="2"/>
  <c r="C290" i="2"/>
  <c r="J289" i="2"/>
  <c r="C289" i="2"/>
  <c r="J288" i="2"/>
  <c r="C288" i="2"/>
  <c r="J287" i="2"/>
  <c r="C287" i="2"/>
  <c r="J286" i="2"/>
  <c r="C286" i="2"/>
  <c r="J285" i="2"/>
  <c r="C285" i="2"/>
  <c r="J284" i="2"/>
  <c r="C284" i="2"/>
  <c r="J283" i="2"/>
  <c r="C283" i="2"/>
  <c r="J282" i="2"/>
  <c r="C282" i="2"/>
  <c r="J281" i="2"/>
  <c r="C281" i="2"/>
  <c r="J280" i="2"/>
  <c r="C280" i="2"/>
  <c r="J279" i="2"/>
  <c r="C279" i="2"/>
  <c r="J278" i="2"/>
  <c r="C278" i="2"/>
  <c r="J277" i="2"/>
  <c r="C277" i="2"/>
  <c r="J276" i="2"/>
  <c r="C276" i="2"/>
  <c r="J275" i="2"/>
  <c r="C275" i="2"/>
  <c r="J274" i="2"/>
  <c r="C274" i="2"/>
  <c r="J273" i="2"/>
  <c r="C273" i="2"/>
  <c r="J272" i="2"/>
  <c r="C272" i="2"/>
  <c r="J271" i="2"/>
  <c r="C271" i="2"/>
  <c r="J270" i="2"/>
  <c r="C270" i="2"/>
  <c r="J269" i="2"/>
  <c r="C269" i="2"/>
  <c r="J268" i="2"/>
  <c r="C268" i="2"/>
  <c r="J267" i="2"/>
  <c r="C267" i="2"/>
  <c r="J266" i="2"/>
  <c r="C266" i="2"/>
  <c r="J265" i="2"/>
  <c r="C265" i="2"/>
  <c r="J264" i="2"/>
  <c r="C264" i="2"/>
  <c r="J263" i="2"/>
  <c r="C263" i="2"/>
  <c r="J262" i="2"/>
  <c r="C262" i="2"/>
  <c r="J261" i="2"/>
  <c r="C261" i="2"/>
  <c r="J260" i="2"/>
  <c r="C260" i="2"/>
  <c r="J259" i="2"/>
  <c r="C259" i="2"/>
  <c r="J258" i="2"/>
  <c r="C258" i="2"/>
  <c r="J257" i="2"/>
  <c r="C257" i="2"/>
  <c r="J256" i="2"/>
  <c r="C256" i="2"/>
  <c r="J255" i="2"/>
  <c r="C255" i="2"/>
  <c r="J254" i="2"/>
  <c r="C254" i="2"/>
  <c r="J253" i="2"/>
  <c r="C253" i="2"/>
  <c r="J252" i="2"/>
  <c r="C252" i="2"/>
  <c r="J251" i="2"/>
  <c r="C251" i="2"/>
  <c r="J250" i="2"/>
  <c r="C250" i="2"/>
  <c r="J249" i="2"/>
  <c r="C249" i="2"/>
  <c r="J248" i="2"/>
  <c r="C248" i="2"/>
  <c r="J247" i="2"/>
  <c r="C247" i="2"/>
  <c r="J246" i="2"/>
  <c r="C246" i="2"/>
  <c r="J245" i="2"/>
  <c r="C245" i="2"/>
  <c r="J244" i="2"/>
  <c r="C244" i="2"/>
  <c r="J243" i="2"/>
  <c r="C243" i="2"/>
  <c r="J242" i="2"/>
  <c r="C242" i="2"/>
  <c r="J241" i="2"/>
  <c r="C241" i="2"/>
  <c r="J240" i="2"/>
  <c r="C240" i="2"/>
  <c r="J239" i="2"/>
  <c r="C239" i="2"/>
  <c r="J238" i="2"/>
  <c r="C238" i="2"/>
  <c r="J237" i="2"/>
  <c r="C237" i="2"/>
  <c r="J236" i="2"/>
  <c r="C236" i="2"/>
  <c r="J235" i="2"/>
  <c r="C235" i="2"/>
  <c r="J234" i="2"/>
  <c r="C234" i="2"/>
  <c r="J233" i="2"/>
  <c r="C233" i="2"/>
  <c r="J232" i="2"/>
  <c r="C232" i="2"/>
  <c r="J231" i="2"/>
  <c r="C231" i="2"/>
  <c r="J230" i="2"/>
  <c r="C230" i="2"/>
  <c r="J229" i="2"/>
  <c r="C229" i="2"/>
  <c r="J228" i="2"/>
  <c r="C228" i="2"/>
  <c r="J227" i="2"/>
  <c r="C227" i="2"/>
  <c r="J226" i="2"/>
  <c r="C226" i="2"/>
  <c r="J225" i="2"/>
  <c r="C225" i="2"/>
  <c r="J224" i="2"/>
  <c r="C224" i="2"/>
  <c r="J223" i="2"/>
  <c r="C223" i="2"/>
  <c r="J222" i="2"/>
  <c r="C222" i="2"/>
  <c r="J221" i="2"/>
  <c r="C221" i="2"/>
  <c r="J220" i="2"/>
  <c r="C220" i="2"/>
  <c r="J219" i="2"/>
  <c r="C219" i="2"/>
  <c r="J218" i="2"/>
  <c r="C218" i="2"/>
  <c r="J217" i="2"/>
  <c r="C217" i="2"/>
  <c r="J216" i="2"/>
  <c r="C216" i="2"/>
  <c r="J215" i="2"/>
  <c r="C215" i="2"/>
  <c r="J214" i="2"/>
  <c r="C214" i="2"/>
  <c r="J213" i="2"/>
  <c r="C213" i="2"/>
  <c r="J212" i="2"/>
  <c r="C212" i="2"/>
  <c r="J211" i="2"/>
  <c r="C211" i="2"/>
  <c r="J210" i="2"/>
  <c r="C210" i="2"/>
  <c r="J209" i="2"/>
  <c r="C209" i="2"/>
  <c r="J208" i="2"/>
  <c r="C208" i="2"/>
  <c r="J207" i="2"/>
  <c r="C207" i="2"/>
  <c r="J206" i="2"/>
  <c r="C206" i="2"/>
  <c r="J205" i="2"/>
  <c r="C205" i="2"/>
  <c r="J204" i="2"/>
  <c r="C204" i="2"/>
  <c r="J203" i="2"/>
  <c r="C203" i="2"/>
  <c r="J202" i="2"/>
  <c r="C202" i="2"/>
  <c r="J201" i="2"/>
  <c r="C201" i="2"/>
  <c r="J200" i="2"/>
  <c r="C200" i="2"/>
  <c r="J199" i="2"/>
  <c r="C199" i="2"/>
  <c r="J198" i="2"/>
  <c r="C198" i="2"/>
  <c r="J197" i="2"/>
  <c r="C197" i="2"/>
  <c r="J196" i="2"/>
  <c r="C196" i="2"/>
  <c r="J195" i="2"/>
  <c r="C195" i="2"/>
  <c r="J194" i="2"/>
  <c r="C194" i="2"/>
  <c r="J193" i="2"/>
  <c r="C193" i="2"/>
  <c r="J192" i="2"/>
  <c r="C192" i="2"/>
  <c r="J191" i="2"/>
  <c r="C191" i="2"/>
  <c r="J190" i="2"/>
  <c r="C190" i="2"/>
  <c r="J189" i="2"/>
  <c r="C189" i="2"/>
  <c r="J188" i="2"/>
  <c r="C188" i="2"/>
  <c r="J187" i="2"/>
  <c r="C187" i="2"/>
  <c r="J186" i="2"/>
  <c r="C186" i="2"/>
  <c r="J185" i="2"/>
  <c r="C185" i="2"/>
  <c r="J184" i="2"/>
  <c r="C184" i="2"/>
  <c r="J183" i="2"/>
  <c r="C183" i="2"/>
  <c r="J182" i="2"/>
  <c r="C182" i="2"/>
  <c r="J181" i="2"/>
  <c r="C181" i="2"/>
  <c r="J180" i="2"/>
  <c r="C180" i="2"/>
  <c r="J179" i="2"/>
  <c r="C179" i="2"/>
  <c r="J178" i="2"/>
  <c r="C178" i="2"/>
  <c r="J177" i="2"/>
  <c r="C177" i="2"/>
  <c r="J176" i="2"/>
  <c r="C176" i="2"/>
  <c r="J175" i="2"/>
  <c r="C175" i="2"/>
  <c r="J174" i="2"/>
  <c r="C174" i="2"/>
  <c r="J173" i="2"/>
  <c r="C173" i="2"/>
  <c r="J172" i="2"/>
  <c r="C172" i="2"/>
  <c r="J171" i="2"/>
  <c r="C171" i="2"/>
  <c r="J170" i="2"/>
  <c r="C170" i="2"/>
  <c r="J169" i="2"/>
  <c r="C169" i="2"/>
  <c r="J168" i="2"/>
  <c r="C168" i="2"/>
  <c r="J167" i="2"/>
  <c r="C167" i="2"/>
  <c r="J166" i="2"/>
  <c r="C166" i="2"/>
  <c r="J165" i="2"/>
  <c r="C165" i="2"/>
  <c r="J164" i="2"/>
  <c r="C164" i="2"/>
  <c r="J163" i="2"/>
  <c r="C163" i="2"/>
  <c r="J162" i="2"/>
  <c r="C162" i="2"/>
  <c r="J161" i="2"/>
  <c r="C161" i="2"/>
  <c r="J160" i="2"/>
  <c r="C160" i="2"/>
  <c r="J159" i="2"/>
  <c r="C159" i="2"/>
  <c r="J158" i="2"/>
  <c r="C158" i="2"/>
  <c r="J157" i="2"/>
  <c r="C157" i="2"/>
  <c r="J156" i="2"/>
  <c r="C156" i="2"/>
  <c r="J155" i="2"/>
  <c r="C155" i="2"/>
  <c r="J154" i="2"/>
  <c r="C154" i="2"/>
  <c r="J153" i="2"/>
  <c r="C153" i="2"/>
  <c r="J152" i="2"/>
  <c r="C152" i="2"/>
  <c r="J151" i="2"/>
  <c r="C151" i="2"/>
  <c r="J150" i="2"/>
  <c r="C150" i="2"/>
  <c r="J149" i="2"/>
  <c r="C149" i="2"/>
  <c r="J148" i="2"/>
  <c r="C148" i="2"/>
  <c r="J147" i="2"/>
  <c r="C147" i="2"/>
  <c r="J146" i="2"/>
  <c r="C146" i="2"/>
  <c r="J145" i="2"/>
  <c r="C145" i="2"/>
  <c r="J144" i="2"/>
  <c r="C144" i="2"/>
  <c r="J143" i="2"/>
  <c r="C143" i="2"/>
  <c r="J142" i="2"/>
  <c r="C142" i="2"/>
  <c r="J141" i="2"/>
  <c r="C141" i="2"/>
  <c r="J140" i="2"/>
  <c r="C140" i="2"/>
  <c r="J139" i="2"/>
  <c r="C139" i="2"/>
  <c r="J138" i="2"/>
  <c r="C138" i="2"/>
  <c r="J137" i="2"/>
  <c r="C137" i="2"/>
  <c r="J136" i="2"/>
  <c r="C136" i="2"/>
  <c r="J135" i="2"/>
  <c r="C135" i="2"/>
  <c r="J134" i="2"/>
  <c r="C134" i="2"/>
  <c r="J133" i="2"/>
  <c r="C133" i="2"/>
  <c r="J132" i="2"/>
  <c r="C132" i="2"/>
  <c r="J131" i="2"/>
  <c r="C131" i="2"/>
  <c r="J130" i="2"/>
  <c r="C130" i="2"/>
  <c r="J129" i="2"/>
  <c r="C129" i="2"/>
  <c r="J128" i="2"/>
  <c r="C128" i="2"/>
  <c r="J127" i="2"/>
  <c r="C127" i="2"/>
  <c r="J126" i="2"/>
  <c r="C126" i="2"/>
  <c r="J125" i="2"/>
  <c r="C125" i="2"/>
  <c r="J124" i="2"/>
  <c r="C124" i="2"/>
  <c r="J123" i="2"/>
  <c r="C123" i="2"/>
  <c r="J122" i="2"/>
  <c r="C122" i="2"/>
  <c r="J121" i="2"/>
  <c r="C121" i="2"/>
  <c r="J120" i="2"/>
  <c r="C120" i="2"/>
  <c r="J119" i="2"/>
  <c r="C119" i="2"/>
  <c r="J118" i="2"/>
  <c r="C118" i="2"/>
  <c r="J117" i="2"/>
  <c r="C117" i="2"/>
  <c r="J116" i="2"/>
  <c r="C116" i="2"/>
  <c r="J115" i="2"/>
  <c r="C115" i="2"/>
  <c r="J114" i="2"/>
  <c r="C114" i="2"/>
  <c r="J113" i="2"/>
  <c r="C113" i="2"/>
  <c r="J112" i="2"/>
  <c r="C112" i="2"/>
  <c r="J111" i="2"/>
  <c r="C111" i="2"/>
  <c r="J110" i="2"/>
  <c r="C110" i="2"/>
  <c r="J109" i="2"/>
  <c r="C109" i="2"/>
  <c r="J108" i="2"/>
  <c r="C108" i="2"/>
  <c r="J107" i="2"/>
  <c r="C107" i="2"/>
  <c r="J106" i="2"/>
  <c r="C106" i="2"/>
  <c r="J105" i="2"/>
  <c r="C105" i="2"/>
  <c r="J104" i="2"/>
  <c r="C104" i="2"/>
  <c r="J103" i="2"/>
  <c r="C103" i="2"/>
  <c r="J102" i="2"/>
  <c r="C102" i="2"/>
  <c r="J101" i="2"/>
  <c r="C101" i="2"/>
  <c r="J100" i="2"/>
  <c r="C100" i="2"/>
  <c r="J99" i="2"/>
  <c r="C99" i="2"/>
  <c r="J98" i="2"/>
  <c r="C98" i="2"/>
  <c r="J97" i="2"/>
  <c r="C97" i="2"/>
  <c r="J96" i="2"/>
  <c r="C96" i="2"/>
  <c r="J95" i="2"/>
  <c r="C95" i="2"/>
  <c r="J94" i="2"/>
  <c r="C94" i="2"/>
  <c r="J93" i="2"/>
  <c r="C93" i="2"/>
  <c r="J92" i="2"/>
  <c r="C92" i="2"/>
  <c r="J91" i="2"/>
  <c r="C91" i="2"/>
  <c r="J90" i="2"/>
  <c r="C90" i="2"/>
  <c r="J89" i="2"/>
  <c r="C89" i="2"/>
  <c r="J88" i="2"/>
  <c r="C88" i="2"/>
  <c r="J87" i="2"/>
  <c r="C87" i="2"/>
  <c r="J86" i="2"/>
  <c r="C86" i="2"/>
  <c r="J85" i="2"/>
  <c r="C85" i="2"/>
  <c r="J84" i="2"/>
  <c r="C84" i="2"/>
  <c r="J83" i="2"/>
  <c r="C83" i="2"/>
  <c r="J82" i="2"/>
  <c r="C82" i="2"/>
  <c r="J81" i="2"/>
  <c r="C81" i="2"/>
  <c r="J80" i="2"/>
  <c r="C80" i="2"/>
  <c r="J79" i="2"/>
  <c r="C79" i="2"/>
  <c r="J78" i="2"/>
  <c r="C78" i="2"/>
  <c r="J77" i="2"/>
  <c r="C77" i="2"/>
  <c r="J76" i="2"/>
  <c r="C76" i="2"/>
  <c r="J75" i="2"/>
  <c r="C75" i="2"/>
  <c r="J74" i="2"/>
  <c r="C74" i="2"/>
  <c r="J73" i="2"/>
  <c r="C73" i="2"/>
  <c r="J72" i="2"/>
  <c r="C72" i="2"/>
  <c r="J71" i="2"/>
  <c r="C71" i="2"/>
  <c r="J70" i="2"/>
  <c r="C70" i="2"/>
  <c r="J69" i="2"/>
  <c r="C69" i="2"/>
  <c r="J68" i="2"/>
  <c r="C68" i="2"/>
  <c r="J67" i="2"/>
  <c r="C67" i="2"/>
  <c r="J66" i="2"/>
  <c r="C66" i="2"/>
  <c r="J65" i="2"/>
  <c r="C65" i="2"/>
  <c r="J64" i="2"/>
  <c r="C64" i="2"/>
  <c r="J63" i="2"/>
  <c r="C63" i="2"/>
  <c r="J62" i="2"/>
  <c r="C62" i="2"/>
  <c r="J61" i="2"/>
  <c r="C61" i="2"/>
  <c r="J60" i="2"/>
  <c r="C60" i="2"/>
  <c r="J59" i="2"/>
  <c r="C59" i="2"/>
  <c r="J58" i="2"/>
  <c r="C58" i="2"/>
  <c r="J57" i="2"/>
  <c r="C57" i="2"/>
  <c r="J56" i="2"/>
  <c r="C56" i="2"/>
  <c r="J55" i="2"/>
  <c r="C55" i="2"/>
  <c r="J54" i="2"/>
  <c r="C54" i="2"/>
  <c r="J53" i="2"/>
  <c r="C53" i="2"/>
  <c r="J52" i="2"/>
  <c r="C52" i="2"/>
  <c r="J51" i="2"/>
  <c r="C51" i="2"/>
  <c r="J50" i="2"/>
  <c r="C50" i="2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J20" i="2"/>
  <c r="C20" i="2"/>
  <c r="J19" i="2"/>
  <c r="C19" i="2"/>
  <c r="J18" i="2"/>
  <c r="C18" i="2"/>
  <c r="J17" i="2"/>
  <c r="C17" i="2"/>
  <c r="J16" i="2"/>
  <c r="C16" i="2"/>
  <c r="J15" i="2"/>
  <c r="C15" i="2"/>
  <c r="J14" i="2"/>
  <c r="C14" i="2"/>
  <c r="J13" i="2"/>
  <c r="C13" i="2"/>
  <c r="J12" i="2"/>
  <c r="C12" i="2"/>
  <c r="J11" i="2"/>
  <c r="C11" i="2"/>
  <c r="J10" i="2"/>
  <c r="C10" i="2"/>
  <c r="J9" i="2"/>
  <c r="C9" i="2"/>
  <c r="J8" i="2"/>
  <c r="C8" i="2"/>
  <c r="J7" i="2"/>
  <c r="C7" i="2"/>
  <c r="J6" i="2"/>
  <c r="C6" i="2"/>
  <c r="J5" i="2"/>
  <c r="C5" i="2"/>
  <c r="J4" i="2"/>
  <c r="C4" i="2"/>
  <c r="J3" i="2"/>
  <c r="C3" i="2"/>
  <c r="J2" i="2"/>
  <c r="C2" i="2"/>
  <c r="B14" i="1" s="1"/>
  <c r="B35" i="1"/>
  <c r="C34" i="1"/>
  <c r="B34" i="1"/>
  <c r="B30" i="1"/>
  <c r="B29" i="1"/>
  <c r="B28" i="1"/>
  <c r="C27" i="1"/>
  <c r="B27" i="1"/>
  <c r="B26" i="1"/>
  <c r="B25" i="1"/>
  <c r="B24" i="1"/>
  <c r="C23" i="1"/>
  <c r="B23" i="1"/>
  <c r="B22" i="1"/>
  <c r="B21" i="1"/>
  <c r="B20" i="1"/>
  <c r="C19" i="1"/>
  <c r="B19" i="1"/>
  <c r="D14" i="1"/>
  <c r="C14" i="1"/>
  <c r="E14" i="1" s="1"/>
  <c r="D13" i="1"/>
  <c r="C13" i="1"/>
  <c r="D12" i="1"/>
  <c r="C12" i="1"/>
  <c r="D11" i="1"/>
  <c r="C11" i="1"/>
  <c r="D10" i="1"/>
  <c r="C10" i="1"/>
  <c r="D9" i="1"/>
  <c r="C9" i="1"/>
  <c r="C5" i="1"/>
  <c r="B5" i="1"/>
  <c r="D15" i="1" l="1"/>
  <c r="A5" i="1"/>
  <c r="C35" i="1"/>
  <c r="C25" i="1"/>
  <c r="C20" i="1"/>
  <c r="C30" i="1"/>
  <c r="D30" i="1" s="1"/>
  <c r="C29" i="1"/>
  <c r="D29" i="1" s="1"/>
  <c r="C22" i="1"/>
  <c r="C24" i="1"/>
  <c r="C28" i="1"/>
  <c r="C21" i="1"/>
  <c r="D21" i="1" s="1"/>
  <c r="D25" i="1"/>
  <c r="D34" i="1"/>
  <c r="D23" i="1"/>
  <c r="D22" i="1"/>
  <c r="D28" i="1"/>
  <c r="D24" i="1"/>
  <c r="D27" i="1"/>
  <c r="D19" i="1"/>
  <c r="D35" i="1"/>
  <c r="D20" i="1"/>
  <c r="D5" i="1"/>
  <c r="E12" i="1"/>
  <c r="C26" i="1"/>
  <c r="D26" i="1" s="1"/>
  <c r="C15" i="1"/>
  <c r="B9" i="1"/>
  <c r="B10" i="1"/>
  <c r="E10" i="1" s="1"/>
  <c r="B11" i="1"/>
  <c r="E11" i="1" s="1"/>
  <c r="B12" i="1"/>
  <c r="B13" i="1"/>
  <c r="E13" i="1" s="1"/>
  <c r="B15" i="1" l="1"/>
  <c r="E15" i="1"/>
  <c r="E9" i="1"/>
</calcChain>
</file>

<file path=xl/sharedStrings.xml><?xml version="1.0" encoding="utf-8"?>
<sst xmlns="http://schemas.openxmlformats.org/spreadsheetml/2006/main" count="6631" uniqueCount="1761">
  <si>
    <t>Sales Performance Report</t>
  </si>
  <si>
    <t>Consolidated from 3 source files  |  01 Jan 2026 to 29 Jun 2026  |  SAMPLE DATA: synthetic, for demonstration</t>
  </si>
  <si>
    <t>TOTAL REVENUE</t>
  </si>
  <si>
    <t>ORDERS</t>
  </si>
  <si>
    <t>UNITS SOLD</t>
  </si>
  <si>
    <t>AVG ORDER VALUE</t>
  </si>
  <si>
    <t>Monthly trend</t>
  </si>
  <si>
    <t>Month</t>
  </si>
  <si>
    <t>Revenue ($)</t>
  </si>
  <si>
    <t>Orders</t>
  </si>
  <si>
    <t>Units</t>
  </si>
  <si>
    <t>Avg Order ($)</t>
  </si>
  <si>
    <t>Total</t>
  </si>
  <si>
    <t>Revenue by product</t>
  </si>
  <si>
    <t>Product</t>
  </si>
  <si>
    <t>% of Revenue</t>
  </si>
  <si>
    <t>Ergonomic Chair</t>
  </si>
  <si>
    <t>27-inch Monitor</t>
  </si>
  <si>
    <t>Noise-Cancelling Headphones</t>
  </si>
  <si>
    <t>Docking Station</t>
  </si>
  <si>
    <t>Mechanical Keyboard</t>
  </si>
  <si>
    <t>Bluetooth Speaker</t>
  </si>
  <si>
    <t>External SSD 1TB</t>
  </si>
  <si>
    <t>Webcam HD</t>
  </si>
  <si>
    <t>Laptop Stand</t>
  </si>
  <si>
    <t>Smart LED Lamp</t>
  </si>
  <si>
    <t>Wireless Mouse</t>
  </si>
  <si>
    <t>USB-C Cable</t>
  </si>
  <si>
    <t>Revenue by channel</t>
  </si>
  <si>
    <t>Channel</t>
  </si>
  <si>
    <t>In-Store</t>
  </si>
  <si>
    <t>Online</t>
  </si>
  <si>
    <t>Revenue = Quantity x Unit Price x (1 - Discount). All figures on this sheet are formulas over the Clean Data sheet.</t>
  </si>
  <si>
    <t>Order ID</t>
  </si>
  <si>
    <t>Order Date</t>
  </si>
  <si>
    <t>Customer</t>
  </si>
  <si>
    <t>Quantity</t>
  </si>
  <si>
    <t>Unit Price</t>
  </si>
  <si>
    <t>Discount</t>
  </si>
  <si>
    <t>Revenue</t>
  </si>
  <si>
    <t>Source File</t>
  </si>
  <si>
    <t>S/7329</t>
  </si>
  <si>
    <t>Daniel Wilson</t>
  </si>
  <si>
    <t>south_store.xlsx</t>
  </si>
  <si>
    <t>S/7350</t>
  </si>
  <si>
    <t>Ethan Brown</t>
  </si>
  <si>
    <t>W50204</t>
  </si>
  <si>
    <t>Olivia Butt</t>
  </si>
  <si>
    <t>online_shop.csv</t>
  </si>
  <si>
    <t>W50279</t>
  </si>
  <si>
    <t>Ali Raza</t>
  </si>
  <si>
    <t>W50359</t>
  </si>
  <si>
    <t>Hassan Malik</t>
  </si>
  <si>
    <t>W50393</t>
  </si>
  <si>
    <t>Chloe Raza</t>
  </si>
  <si>
    <t>W50474</t>
  </si>
  <si>
    <t>Maya Sheikh</t>
  </si>
  <si>
    <t>N-1125</t>
  </si>
  <si>
    <t>Ethan Moore</t>
  </si>
  <si>
    <t>north_store.csv</t>
  </si>
  <si>
    <t>N-1204</t>
  </si>
  <si>
    <t>Ayesha Raza</t>
  </si>
  <si>
    <t>N-1216</t>
  </si>
  <si>
    <t>Hassan Iqbal</t>
  </si>
  <si>
    <t>S/7014</t>
  </si>
  <si>
    <t>Olivia Hussain</t>
  </si>
  <si>
    <t>S/7258</t>
  </si>
  <si>
    <t>Hannah Taylor</t>
  </si>
  <si>
    <t>W50002</t>
  </si>
  <si>
    <t>Sofia Clarke</t>
  </si>
  <si>
    <t>W50107</t>
  </si>
  <si>
    <t>Daniel Davis</t>
  </si>
  <si>
    <t>W50385</t>
  </si>
  <si>
    <t>Noah Patel</t>
  </si>
  <si>
    <t>W50390</t>
  </si>
  <si>
    <t>W50457</t>
  </si>
  <si>
    <t>Hannah Khan</t>
  </si>
  <si>
    <t>N-1251</t>
  </si>
  <si>
    <t>Unknown</t>
  </si>
  <si>
    <t>N-1365</t>
  </si>
  <si>
    <t>Ayesha Miller</t>
  </si>
  <si>
    <t>S/7086</t>
  </si>
  <si>
    <t>Emma Iqbal</t>
  </si>
  <si>
    <t>S/7341</t>
  </si>
  <si>
    <t>Liam Taylor</t>
  </si>
  <si>
    <t>W50394</t>
  </si>
  <si>
    <t>Sofia Walker</t>
  </si>
  <si>
    <t>N-1376</t>
  </si>
  <si>
    <t>Ayesha Malik</t>
  </si>
  <si>
    <t>N-1380</t>
  </si>
  <si>
    <t>Maya Clarke</t>
  </si>
  <si>
    <t>S/7102</t>
  </si>
  <si>
    <t>Emma Miller</t>
  </si>
  <si>
    <t>S/7120</t>
  </si>
  <si>
    <t>Ethan Raza</t>
  </si>
  <si>
    <t>S/7308</t>
  </si>
  <si>
    <t>W50135</t>
  </si>
  <si>
    <t>Zara Iqbal</t>
  </si>
  <si>
    <t>W50191</t>
  </si>
  <si>
    <t>N-1045</t>
  </si>
  <si>
    <t>Emma Walker</t>
  </si>
  <si>
    <t>N-1057</t>
  </si>
  <si>
    <t>Olivia Patel</t>
  </si>
  <si>
    <t>N-1067</t>
  </si>
  <si>
    <t>Chloe Butt</t>
  </si>
  <si>
    <t>N-1081</t>
  </si>
  <si>
    <t>Noah Rossi</t>
  </si>
  <si>
    <t>N-1278</t>
  </si>
  <si>
    <t>Zara Brown</t>
  </si>
  <si>
    <t>W50150</t>
  </si>
  <si>
    <t>Ayesha Clarke</t>
  </si>
  <si>
    <t>W50203</t>
  </si>
  <si>
    <t>Chloe Hussain</t>
  </si>
  <si>
    <t>W50284</t>
  </si>
  <si>
    <t>Sofia Patel</t>
  </si>
  <si>
    <t>W50409</t>
  </si>
  <si>
    <t>Chloe Davis</t>
  </si>
  <si>
    <t>W50430</t>
  </si>
  <si>
    <t>Usman Rossi</t>
  </si>
  <si>
    <t>N-1110</t>
  </si>
  <si>
    <t>Ali Wilson</t>
  </si>
  <si>
    <t>N-1235</t>
  </si>
  <si>
    <t>Ali Moore</t>
  </si>
  <si>
    <t>N-1331</t>
  </si>
  <si>
    <t>N-1382</t>
  </si>
  <si>
    <t>Daniel Brown</t>
  </si>
  <si>
    <t>S/7032</t>
  </si>
  <si>
    <t>Omar Raza</t>
  </si>
  <si>
    <t>S/7313</t>
  </si>
  <si>
    <t>Hannah Butt</t>
  </si>
  <si>
    <t>S/7333</t>
  </si>
  <si>
    <t>Sofia Brown</t>
  </si>
  <si>
    <t>W50155</t>
  </si>
  <si>
    <t>Ethan Taylor</t>
  </si>
  <si>
    <t>W50228</t>
  </si>
  <si>
    <t>Emma Raza</t>
  </si>
  <si>
    <t>W50358</t>
  </si>
  <si>
    <t>Sofia Taylor</t>
  </si>
  <si>
    <t>W50389</t>
  </si>
  <si>
    <t>Ethan Patel</t>
  </si>
  <si>
    <t>W50406</t>
  </si>
  <si>
    <t>Liam Iqbal</t>
  </si>
  <si>
    <t>W50492</t>
  </si>
  <si>
    <t>S/7009</t>
  </si>
  <si>
    <t>Ali Malik</t>
  </si>
  <si>
    <t>S/7255</t>
  </si>
  <si>
    <t>Ethan Clarke</t>
  </si>
  <si>
    <t>W50227</t>
  </si>
  <si>
    <t>Zara Butt</t>
  </si>
  <si>
    <t>W50420</t>
  </si>
  <si>
    <t>Omar Rossi</t>
  </si>
  <si>
    <t>W50469</t>
  </si>
  <si>
    <t>N-1042</t>
  </si>
  <si>
    <t>Zara Malik</t>
  </si>
  <si>
    <t>N-1260</t>
  </si>
  <si>
    <t>N-1351</t>
  </si>
  <si>
    <t>W50476</t>
  </si>
  <si>
    <t>Hassan Wilson</t>
  </si>
  <si>
    <t>S/7252</t>
  </si>
  <si>
    <t>Hassan Ahmed</t>
  </si>
  <si>
    <t>W50462</t>
  </si>
  <si>
    <t>S/7104</t>
  </si>
  <si>
    <t>Usman Patel</t>
  </si>
  <si>
    <t>W50038</t>
  </si>
  <si>
    <t>Liam Malik</t>
  </si>
  <si>
    <t>W50123</t>
  </si>
  <si>
    <t>Omar Butt</t>
  </si>
  <si>
    <t>W50295</t>
  </si>
  <si>
    <t>Noah Khan</t>
  </si>
  <si>
    <t>W50460</t>
  </si>
  <si>
    <t>Omar Ahmed</t>
  </si>
  <si>
    <t>W50477</t>
  </si>
  <si>
    <t>Olivia Taylor</t>
  </si>
  <si>
    <t>N-1408</t>
  </si>
  <si>
    <t>S/7017</t>
  </si>
  <si>
    <t>S/7155</t>
  </si>
  <si>
    <t>S/7214</t>
  </si>
  <si>
    <t>Maya Patel</t>
  </si>
  <si>
    <t>W50057</t>
  </si>
  <si>
    <t>Hassan Rossi</t>
  </si>
  <si>
    <t>W50354</t>
  </si>
  <si>
    <t>Omar Taylor</t>
  </si>
  <si>
    <t>N-1268</t>
  </si>
  <si>
    <t>Fatima Iqbal</t>
  </si>
  <si>
    <t>S/7274</t>
  </si>
  <si>
    <t>Daniel Rossi</t>
  </si>
  <si>
    <t>W50110</t>
  </si>
  <si>
    <t>Noah Ahmed</t>
  </si>
  <si>
    <t>W50275</t>
  </si>
  <si>
    <t>W50320</t>
  </si>
  <si>
    <t>Sofia Wilson</t>
  </si>
  <si>
    <t>W50482</t>
  </si>
  <si>
    <t>Fatima Clarke</t>
  </si>
  <si>
    <t>W50514</t>
  </si>
  <si>
    <t>Usman Clarke</t>
  </si>
  <si>
    <t>S/7202</t>
  </si>
  <si>
    <t>S/7276</t>
  </si>
  <si>
    <t>Noah Wilson</t>
  </si>
  <si>
    <t>S/7282</t>
  </si>
  <si>
    <t>Zara Taylor</t>
  </si>
  <si>
    <t>W50440</t>
  </si>
  <si>
    <t>N-1163</t>
  </si>
  <si>
    <t>N-1200</t>
  </si>
  <si>
    <t>N-1383</t>
  </si>
  <si>
    <t>Noah Brown</t>
  </si>
  <si>
    <t>S/7078</t>
  </si>
  <si>
    <t>Maya Davis</t>
  </si>
  <si>
    <t>S/7162</t>
  </si>
  <si>
    <t>Maya Malik</t>
  </si>
  <si>
    <t>S/7195</t>
  </si>
  <si>
    <t>Hannah Iqbal</t>
  </si>
  <si>
    <t>W50031</t>
  </si>
  <si>
    <t>Ali Butt</t>
  </si>
  <si>
    <t>W50053</t>
  </si>
  <si>
    <t>Noah Hussain</t>
  </si>
  <si>
    <t>W50291</t>
  </si>
  <si>
    <t>Hannah Patel</t>
  </si>
  <si>
    <t>W50497</t>
  </si>
  <si>
    <t>N-1354</t>
  </si>
  <si>
    <t>Ayesha Walker</t>
  </si>
  <si>
    <t>S/7058</t>
  </si>
  <si>
    <t>Ethan Ahmed</t>
  </si>
  <si>
    <t>S/7298</t>
  </si>
  <si>
    <t>Noah Davis</t>
  </si>
  <si>
    <t>W50035</t>
  </si>
  <si>
    <t>Noah Raza</t>
  </si>
  <si>
    <t>N-1023</t>
  </si>
  <si>
    <t>Fatima Rossi</t>
  </si>
  <si>
    <t>N-1194</t>
  </si>
  <si>
    <t>Usman Khan</t>
  </si>
  <si>
    <t>S/7246</t>
  </si>
  <si>
    <t>Bilal Clarke</t>
  </si>
  <si>
    <t>S/7340</t>
  </si>
  <si>
    <t>Hassan Walker</t>
  </si>
  <si>
    <t>W50126</t>
  </si>
  <si>
    <t>Daniel Malik</t>
  </si>
  <si>
    <t>W50363</t>
  </si>
  <si>
    <t>Noah Butt</t>
  </si>
  <si>
    <t>W50403</t>
  </si>
  <si>
    <t>Ethan Malik</t>
  </si>
  <si>
    <t>N-1007</t>
  </si>
  <si>
    <t>N-1139</t>
  </si>
  <si>
    <t>Ayesha Brown</t>
  </si>
  <si>
    <t>S/7041</t>
  </si>
  <si>
    <t>Zara Moore</t>
  </si>
  <si>
    <t>S/7079</t>
  </si>
  <si>
    <t>S/7156</t>
  </si>
  <si>
    <t>Noah Moore</t>
  </si>
  <si>
    <t>S/7268</t>
  </si>
  <si>
    <t>Liam Raza</t>
  </si>
  <si>
    <t>W50154</t>
  </si>
  <si>
    <t>Fatima Hussain</t>
  </si>
  <si>
    <t>W50381</t>
  </si>
  <si>
    <t>Sofia Davis</t>
  </si>
  <si>
    <t>W50450</t>
  </si>
  <si>
    <t>Sofia Raza</t>
  </si>
  <si>
    <t>N-1003</t>
  </si>
  <si>
    <t>N-1165</t>
  </si>
  <si>
    <t>Omar Wilson</t>
  </si>
  <si>
    <t>N-1385</t>
  </si>
  <si>
    <t>S/7130</t>
  </si>
  <si>
    <t>Sofia Ahmed</t>
  </si>
  <si>
    <t>S/7212</t>
  </si>
  <si>
    <t>Fatima Walker</t>
  </si>
  <si>
    <t>S/7285</t>
  </si>
  <si>
    <t>Usman Wilson</t>
  </si>
  <si>
    <t>W50085</t>
  </si>
  <si>
    <t>W50096</t>
  </si>
  <si>
    <t>Liam Walker</t>
  </si>
  <si>
    <t>W50218</t>
  </si>
  <si>
    <t>N-1052</t>
  </si>
  <si>
    <t>N-1071</t>
  </si>
  <si>
    <t>Zara Raza</t>
  </si>
  <si>
    <t>S/7051</t>
  </si>
  <si>
    <t>Ali Taylor</t>
  </si>
  <si>
    <t>W50361</t>
  </si>
  <si>
    <t>N-1085</t>
  </si>
  <si>
    <t>N-1310</t>
  </si>
  <si>
    <t>Hassan Clarke</t>
  </si>
  <si>
    <t>N-1371</t>
  </si>
  <si>
    <t>W50347</t>
  </si>
  <si>
    <t>W50428</t>
  </si>
  <si>
    <t>W50500</t>
  </si>
  <si>
    <t>Usman Moore</t>
  </si>
  <si>
    <t>W50510</t>
  </si>
  <si>
    <t>Liam Sheikh</t>
  </si>
  <si>
    <t>N-1185</t>
  </si>
  <si>
    <t>Emma Brown</t>
  </si>
  <si>
    <t>S/7022</t>
  </si>
  <si>
    <t>Ayesha Iqbal</t>
  </si>
  <si>
    <t>S/7064</t>
  </si>
  <si>
    <t>S/7253</t>
  </si>
  <si>
    <t>W50410</t>
  </si>
  <si>
    <t>Bilal Taylor</t>
  </si>
  <si>
    <t>W50439</t>
  </si>
  <si>
    <t>Bilal Sheikh</t>
  </si>
  <si>
    <t>N-1078</t>
  </si>
  <si>
    <t>Chloe Clarke</t>
  </si>
  <si>
    <t>N-1249</t>
  </si>
  <si>
    <t>N-1301</t>
  </si>
  <si>
    <t>N-1347</t>
  </si>
  <si>
    <t>Emma Butt</t>
  </si>
  <si>
    <t>S/7358</t>
  </si>
  <si>
    <t>W50224</t>
  </si>
  <si>
    <t>Olivia Clarke</t>
  </si>
  <si>
    <t>W50247</t>
  </si>
  <si>
    <t>Ayesha Khan</t>
  </si>
  <si>
    <t>W50513</t>
  </si>
  <si>
    <t>Olivia Raza</t>
  </si>
  <si>
    <t>N-1134</t>
  </si>
  <si>
    <t>Daniel Iqbal</t>
  </si>
  <si>
    <t>N-1167</t>
  </si>
  <si>
    <t>Liam Brown</t>
  </si>
  <si>
    <t>N-1220</t>
  </si>
  <si>
    <t>Ali Khan</t>
  </si>
  <si>
    <t>N-1400</t>
  </si>
  <si>
    <t>W50127</t>
  </si>
  <si>
    <t>N-1056</t>
  </si>
  <si>
    <t>Hassan Khan</t>
  </si>
  <si>
    <t>N-1109</t>
  </si>
  <si>
    <t>Maya Brown</t>
  </si>
  <si>
    <t>N-1162</t>
  </si>
  <si>
    <t>Olivia Sheikh</t>
  </si>
  <si>
    <t>N-1175</t>
  </si>
  <si>
    <t>Emma Moore</t>
  </si>
  <si>
    <t>N-1326</t>
  </si>
  <si>
    <t>N-1415</t>
  </si>
  <si>
    <t>Fatima Davis</t>
  </si>
  <si>
    <t>S/7230</t>
  </si>
  <si>
    <t>S/7297</t>
  </si>
  <si>
    <t>W50229</t>
  </si>
  <si>
    <t>W50369</t>
  </si>
  <si>
    <t>N-1054</t>
  </si>
  <si>
    <t>Olivia Iqbal</t>
  </si>
  <si>
    <t>N-1318</t>
  </si>
  <si>
    <t>S/7007</t>
  </si>
  <si>
    <t>W50004</t>
  </si>
  <si>
    <t>W50162</t>
  </si>
  <si>
    <t>N-1048</t>
  </si>
  <si>
    <t>Chloe Taylor</t>
  </si>
  <si>
    <t>S/7101</t>
  </si>
  <si>
    <t>W50014</t>
  </si>
  <si>
    <t>Ali Iqbal</t>
  </si>
  <si>
    <t>W50025</t>
  </si>
  <si>
    <t>Fatima Khan</t>
  </si>
  <si>
    <t>W50049</t>
  </si>
  <si>
    <t>Olivia Moore</t>
  </si>
  <si>
    <t>W50087</t>
  </si>
  <si>
    <t>W50300</t>
  </si>
  <si>
    <t>W50375</t>
  </si>
  <si>
    <t>N-1041</t>
  </si>
  <si>
    <t>N-1082</t>
  </si>
  <si>
    <t>N-1100</t>
  </si>
  <si>
    <t>N-1195</t>
  </si>
  <si>
    <t>Ayesha Butt</t>
  </si>
  <si>
    <t>N-1334</t>
  </si>
  <si>
    <t>S/7021</t>
  </si>
  <si>
    <t>Hannah Clarke</t>
  </si>
  <si>
    <t>S/7093</t>
  </si>
  <si>
    <t>Ayesha Davis</t>
  </si>
  <si>
    <t>S/7172</t>
  </si>
  <si>
    <t>W50193</t>
  </si>
  <si>
    <t>Bilal Raza</t>
  </si>
  <si>
    <t>W50448</t>
  </si>
  <si>
    <t>Maya Taylor</t>
  </si>
  <si>
    <t>W50481</t>
  </si>
  <si>
    <t>Maya Walker</t>
  </si>
  <si>
    <t>N-1068</t>
  </si>
  <si>
    <t>N-1297</t>
  </si>
  <si>
    <t>Hassan Taylor</t>
  </si>
  <si>
    <t>N-1330</t>
  </si>
  <si>
    <t>N-1356</t>
  </si>
  <si>
    <t>Chloe Brown</t>
  </si>
  <si>
    <t>N-1374</t>
  </si>
  <si>
    <t>Hassan Miller</t>
  </si>
  <si>
    <t>S/7067</t>
  </si>
  <si>
    <t>S/7151</t>
  </si>
  <si>
    <t>S/7160</t>
  </si>
  <si>
    <t>Hannah Miller</t>
  </si>
  <si>
    <t>S/7186</t>
  </si>
  <si>
    <t>Ali Miller</t>
  </si>
  <si>
    <t>W50461</t>
  </si>
  <si>
    <t>Ethan Hussain</t>
  </si>
  <si>
    <t>W50488</t>
  </si>
  <si>
    <t>N-1130</t>
  </si>
  <si>
    <t>N-1209</t>
  </si>
  <si>
    <t>Daniel Miller</t>
  </si>
  <si>
    <t>S/7072</t>
  </si>
  <si>
    <t>Chloe Malik</t>
  </si>
  <si>
    <t>S/7141</t>
  </si>
  <si>
    <t>W50019</t>
  </si>
  <si>
    <t>W50356</t>
  </si>
  <si>
    <t>Maya Khan</t>
  </si>
  <si>
    <t>W50357</t>
  </si>
  <si>
    <t>W50373</t>
  </si>
  <si>
    <t>Maya Raza</t>
  </si>
  <si>
    <t>N-1312</t>
  </si>
  <si>
    <t>S/7044</t>
  </si>
  <si>
    <t>Usman Malik</t>
  </si>
  <si>
    <t>S/7165</t>
  </si>
  <si>
    <t>W50056</t>
  </si>
  <si>
    <t>W50090</t>
  </si>
  <si>
    <t>Hassan Butt</t>
  </si>
  <si>
    <t>W50129</t>
  </si>
  <si>
    <t>Maya Ahmed</t>
  </si>
  <si>
    <t>W50140</t>
  </si>
  <si>
    <t>Sofia Rossi</t>
  </si>
  <si>
    <t>W50294</t>
  </si>
  <si>
    <t>W50298</t>
  </si>
  <si>
    <t>W50466</t>
  </si>
  <si>
    <t>Zara Clarke</t>
  </si>
  <si>
    <t>W50471</t>
  </si>
  <si>
    <t>Fatima Moore</t>
  </si>
  <si>
    <t>W50494</t>
  </si>
  <si>
    <t>Liam Hussain</t>
  </si>
  <si>
    <t>N-1097</t>
  </si>
  <si>
    <t>N-1359</t>
  </si>
  <si>
    <t>Bilal Wilson</t>
  </si>
  <si>
    <t>S/7129</t>
  </si>
  <si>
    <t>Liam Ahmed</t>
  </si>
  <si>
    <t>S/7331</t>
  </si>
  <si>
    <t>W50007</t>
  </si>
  <si>
    <t>Daniel Clarke</t>
  </si>
  <si>
    <t>W50391</t>
  </si>
  <si>
    <t>Zara Khan</t>
  </si>
  <si>
    <t>W50454</t>
  </si>
  <si>
    <t>Olivia Ahmed</t>
  </si>
  <si>
    <t>N-1133</t>
  </si>
  <si>
    <t>N-1378</t>
  </si>
  <si>
    <t>Hannah Walker</t>
  </si>
  <si>
    <t>N-1396</t>
  </si>
  <si>
    <t>Chloe Rossi</t>
  </si>
  <si>
    <t>S/7012</t>
  </si>
  <si>
    <t>Noah Sheikh</t>
  </si>
  <si>
    <t>W50147</t>
  </si>
  <si>
    <t>W50301</t>
  </si>
  <si>
    <t>Noah Taylor</t>
  </si>
  <si>
    <t>W50350</t>
  </si>
  <si>
    <t>Chloe Sheikh</t>
  </si>
  <si>
    <t>W50411</t>
  </si>
  <si>
    <t>W50478</t>
  </si>
  <si>
    <t>Sofia Butt</t>
  </si>
  <si>
    <t>N-1117</t>
  </si>
  <si>
    <t>Noah Miller</t>
  </si>
  <si>
    <t>N-1166</t>
  </si>
  <si>
    <t>N-1262</t>
  </si>
  <si>
    <t>W50215</t>
  </si>
  <si>
    <t>W50311</t>
  </si>
  <si>
    <t>W50405</t>
  </si>
  <si>
    <t>N-1059</t>
  </si>
  <si>
    <t>Ali Hussain</t>
  </si>
  <si>
    <t>N-1188</t>
  </si>
  <si>
    <t>Bilal Brown</t>
  </si>
  <si>
    <t>S/7125</t>
  </si>
  <si>
    <t>S/7189</t>
  </si>
  <si>
    <t>Fatima Sheikh</t>
  </si>
  <si>
    <t>W50008</t>
  </si>
  <si>
    <t>W50070</t>
  </si>
  <si>
    <t>N-1005</t>
  </si>
  <si>
    <t>N-1177</t>
  </si>
  <si>
    <t>Ayesha Rossi</t>
  </si>
  <si>
    <t>N-1191</t>
  </si>
  <si>
    <t>N-1417</t>
  </si>
  <si>
    <t>Hassan Davis</t>
  </si>
  <si>
    <t>S/7065</t>
  </si>
  <si>
    <t>Sofia Miller</t>
  </si>
  <si>
    <t>S/7089</t>
  </si>
  <si>
    <t>Ali Walker</t>
  </si>
  <si>
    <t>W50011</t>
  </si>
  <si>
    <t>Omar Walker</t>
  </si>
  <si>
    <t>W50160</t>
  </si>
  <si>
    <t>W50339</t>
  </si>
  <si>
    <t>W50444</t>
  </si>
  <si>
    <t>Bilal Khan</t>
  </si>
  <si>
    <t>N-1108</t>
  </si>
  <si>
    <t>N-1207</t>
  </si>
  <si>
    <t>N-1320</t>
  </si>
  <si>
    <t>Emma Khan</t>
  </si>
  <si>
    <t>N-1357</t>
  </si>
  <si>
    <t>W50117</t>
  </si>
  <si>
    <t>Usman Butt</t>
  </si>
  <si>
    <t>W50447</t>
  </si>
  <si>
    <t>N-1046</t>
  </si>
  <si>
    <t>Bilal Ahmed</t>
  </si>
  <si>
    <t>N-1252</t>
  </si>
  <si>
    <t>Noah Walker</t>
  </si>
  <si>
    <t>N-1309</t>
  </si>
  <si>
    <t>Ayesha Taylor</t>
  </si>
  <si>
    <t>S/7197</t>
  </si>
  <si>
    <t>S/7277</t>
  </si>
  <si>
    <t>S/7289</t>
  </si>
  <si>
    <t>W50051</t>
  </si>
  <si>
    <t>Sofia Iqbal</t>
  </si>
  <si>
    <t>W50166</t>
  </si>
  <si>
    <t>Chloe Patel</t>
  </si>
  <si>
    <t>W50287</t>
  </si>
  <si>
    <t>Usman Taylor</t>
  </si>
  <si>
    <t>W50434</t>
  </si>
  <si>
    <t>W50484</t>
  </si>
  <si>
    <t>Bilal Butt</t>
  </si>
  <si>
    <t>N-1029</t>
  </si>
  <si>
    <t>N-1192</t>
  </si>
  <si>
    <t>Zara Wilson</t>
  </si>
  <si>
    <t>S/7322</t>
  </si>
  <si>
    <t>S/7334</t>
  </si>
  <si>
    <t>W50281</t>
  </si>
  <si>
    <t>Chloe Wilson</t>
  </si>
  <si>
    <t>N-1001</t>
  </si>
  <si>
    <t>Olivia Miller</t>
  </si>
  <si>
    <t>N-1039</t>
  </si>
  <si>
    <t>Emma Clarke</t>
  </si>
  <si>
    <t>N-1079</t>
  </si>
  <si>
    <t>S/7052</t>
  </si>
  <si>
    <t>S/7096</t>
  </si>
  <si>
    <t>W50331</t>
  </si>
  <si>
    <t>N-1053</t>
  </si>
  <si>
    <t>N-1158</t>
  </si>
  <si>
    <t>N-1223</t>
  </si>
  <si>
    <t>N-1226</t>
  </si>
  <si>
    <t>N-1316</t>
  </si>
  <si>
    <t>Chloe Miller</t>
  </si>
  <si>
    <t>S/7088</t>
  </si>
  <si>
    <t>Ethan Iqbal</t>
  </si>
  <si>
    <t>S/7134</t>
  </si>
  <si>
    <t>Maya Rossi</t>
  </si>
  <si>
    <t>W50048</t>
  </si>
  <si>
    <t>W50071</t>
  </si>
  <si>
    <t>W50309</t>
  </si>
  <si>
    <t>W50327</t>
  </si>
  <si>
    <t>Usman Davis</t>
  </si>
  <si>
    <t>W50341</t>
  </si>
  <si>
    <t>W50449</t>
  </si>
  <si>
    <t>S/7063</t>
  </si>
  <si>
    <t>S/7198</t>
  </si>
  <si>
    <t>S/7345</t>
  </si>
  <si>
    <t>W50033</t>
  </si>
  <si>
    <t>W50042</t>
  </si>
  <si>
    <t>N-1258</t>
  </si>
  <si>
    <t>W50486</t>
  </si>
  <si>
    <t>Liam Davis</t>
  </si>
  <si>
    <t>N-1315</t>
  </si>
  <si>
    <t>S/7004</t>
  </si>
  <si>
    <t>S/7182</t>
  </si>
  <si>
    <t>Ethan Sheikh</t>
  </si>
  <si>
    <t>N-1104</t>
  </si>
  <si>
    <t>N-1132</t>
  </si>
  <si>
    <t>Omar Khan</t>
  </si>
  <si>
    <t>S/7207</t>
  </si>
  <si>
    <t>S/7319</t>
  </si>
  <si>
    <t>S/7112</t>
  </si>
  <si>
    <t>S/7169</t>
  </si>
  <si>
    <t>S/7249</t>
  </si>
  <si>
    <t>W50083</t>
  </si>
  <si>
    <t>W50370</t>
  </si>
  <si>
    <t>N-1037</t>
  </si>
  <si>
    <t>Ali Patel</t>
  </si>
  <si>
    <t>N-1066</t>
  </si>
  <si>
    <t>Zara Sheikh</t>
  </si>
  <si>
    <t>N-1398</t>
  </si>
  <si>
    <t>S/7011</t>
  </si>
  <si>
    <t>S/7081</t>
  </si>
  <si>
    <t>S/7275</t>
  </si>
  <si>
    <t>Sofia Sheikh</t>
  </si>
  <si>
    <t>W50141</t>
  </si>
  <si>
    <t>W50310</t>
  </si>
  <si>
    <t>N-1168</t>
  </si>
  <si>
    <t>Fatima Miller</t>
  </si>
  <si>
    <t>N-1181</t>
  </si>
  <si>
    <t>Olivia Walker</t>
  </si>
  <si>
    <t>W50260</t>
  </si>
  <si>
    <t>Bilal Iqbal</t>
  </si>
  <si>
    <t>W50332</t>
  </si>
  <si>
    <t>N-1387</t>
  </si>
  <si>
    <t>W50069</t>
  </si>
  <si>
    <t>W50251</t>
  </si>
  <si>
    <t>W50313</t>
  </si>
  <si>
    <t>Sofia Hussain</t>
  </si>
  <si>
    <t>W50368</t>
  </si>
  <si>
    <t>N-1295</t>
  </si>
  <si>
    <t>Fatima Malik</t>
  </si>
  <si>
    <t>S/7299</t>
  </si>
  <si>
    <t>S/7360</t>
  </si>
  <si>
    <t>Maya Miller</t>
  </si>
  <si>
    <t>W50043</t>
  </si>
  <si>
    <t>W50076</t>
  </si>
  <si>
    <t>W50184</t>
  </si>
  <si>
    <t>N-1119</t>
  </si>
  <si>
    <t>N-1126</t>
  </si>
  <si>
    <t>N-1137</t>
  </si>
  <si>
    <t>N-1333</t>
  </si>
  <si>
    <t>S/7045</t>
  </si>
  <si>
    <t>S/7057</t>
  </si>
  <si>
    <t>Hassan Patel</t>
  </si>
  <si>
    <t>S/7083</t>
  </si>
  <si>
    <t>Omar Sheikh</t>
  </si>
  <si>
    <t>S/7199</t>
  </si>
  <si>
    <t>W50151</t>
  </si>
  <si>
    <t>N-1098</t>
  </si>
  <si>
    <t>N-1405</t>
  </si>
  <si>
    <t>S/7002</t>
  </si>
  <si>
    <t>W50367</t>
  </si>
  <si>
    <t>Sofia Khan</t>
  </si>
  <si>
    <t>W50396</t>
  </si>
  <si>
    <t>N-1051</t>
  </si>
  <si>
    <t>N-1202</t>
  </si>
  <si>
    <t>Liam Patel</t>
  </si>
  <si>
    <t>N-1208</t>
  </si>
  <si>
    <t>N-1237</t>
  </si>
  <si>
    <t>W50189</t>
  </si>
  <si>
    <t>N-1238</t>
  </si>
  <si>
    <t>Bilal Moore</t>
  </si>
  <si>
    <t>S/7260</t>
  </si>
  <si>
    <t>W50305</t>
  </si>
  <si>
    <t>W50397</t>
  </si>
  <si>
    <t>N-1263</t>
  </si>
  <si>
    <t>S/7314</t>
  </si>
  <si>
    <t>Chloe Iqbal</t>
  </si>
  <si>
    <t>S/7324</t>
  </si>
  <si>
    <t>W50028</t>
  </si>
  <si>
    <t>Omar Hussain</t>
  </si>
  <si>
    <t>W50088</t>
  </si>
  <si>
    <t>W50130</t>
  </si>
  <si>
    <t>W50214</t>
  </si>
  <si>
    <t>W50268</t>
  </si>
  <si>
    <t>W50288</t>
  </si>
  <si>
    <t>W50437</t>
  </si>
  <si>
    <t>Bilal Rossi</t>
  </si>
  <si>
    <t>W50511</t>
  </si>
  <si>
    <t>N-1218</t>
  </si>
  <si>
    <t>Noah Iqbal</t>
  </si>
  <si>
    <t>S/7242</t>
  </si>
  <si>
    <t>Hassan Brown</t>
  </si>
  <si>
    <t>S/7338</t>
  </si>
  <si>
    <t>Emma Wilson</t>
  </si>
  <si>
    <t>W50133</t>
  </si>
  <si>
    <t>Daniel Butt</t>
  </si>
  <si>
    <t>W50170</t>
  </si>
  <si>
    <t>Bilal Patel</t>
  </si>
  <si>
    <t>W50257</t>
  </si>
  <si>
    <t>W50307</t>
  </si>
  <si>
    <t>W50502</t>
  </si>
  <si>
    <t>N-1069</t>
  </si>
  <si>
    <t>S/7128</t>
  </si>
  <si>
    <t>Maya Iqbal</t>
  </si>
  <si>
    <t>W50116</t>
  </si>
  <si>
    <t>W50249</t>
  </si>
  <si>
    <t>W50267</t>
  </si>
  <si>
    <t>W50299</t>
  </si>
  <si>
    <t>N-1187</t>
  </si>
  <si>
    <t>Hannah Davis</t>
  </si>
  <si>
    <t>S/7055</t>
  </si>
  <si>
    <t>Usman Brown</t>
  </si>
  <si>
    <t>S/7056</t>
  </si>
  <si>
    <t>S/7309</t>
  </si>
  <si>
    <t>W50047</t>
  </si>
  <si>
    <t>W50109</t>
  </si>
  <si>
    <t>Zara Hussain</t>
  </si>
  <si>
    <t>W50255</t>
  </si>
  <si>
    <t>W50436</t>
  </si>
  <si>
    <t>Bilal Hussain</t>
  </si>
  <si>
    <t>W50485</t>
  </si>
  <si>
    <t>Emma Hussain</t>
  </si>
  <si>
    <t>N-1004</t>
  </si>
  <si>
    <t>S/7247</t>
  </si>
  <si>
    <t>Liam Khan</t>
  </si>
  <si>
    <t>S/7263</t>
  </si>
  <si>
    <t>W50045</t>
  </si>
  <si>
    <t>W50128</t>
  </si>
  <si>
    <t>W50239</t>
  </si>
  <si>
    <t>Omar Miller</t>
  </si>
  <si>
    <t>W50432</t>
  </si>
  <si>
    <t>N-1058</t>
  </si>
  <si>
    <t>N-1322</t>
  </si>
  <si>
    <t>N-1394</t>
  </si>
  <si>
    <t>S/7048</t>
  </si>
  <si>
    <t>S/7132</t>
  </si>
  <si>
    <t>S/7273</t>
  </si>
  <si>
    <t>Hannah Sheikh</t>
  </si>
  <si>
    <t>S/7292</t>
  </si>
  <si>
    <t>W50157</t>
  </si>
  <si>
    <t>W50207</t>
  </si>
  <si>
    <t>N-1019</t>
  </si>
  <si>
    <t>N-1150</t>
  </si>
  <si>
    <t>N-1199</t>
  </si>
  <si>
    <t>Daniel Ahmed</t>
  </si>
  <si>
    <t>S/7153</t>
  </si>
  <si>
    <t>S/7240</t>
  </si>
  <si>
    <t>W50015</t>
  </si>
  <si>
    <t>N-1304</t>
  </si>
  <si>
    <t>N-1390</t>
  </si>
  <si>
    <t>S/7213</t>
  </si>
  <si>
    <t>S/7241</t>
  </si>
  <si>
    <t>W50442</t>
  </si>
  <si>
    <t>W50451</t>
  </si>
  <si>
    <t>Daniel Patel</t>
  </si>
  <si>
    <t>N-1064</t>
  </si>
  <si>
    <t>N-1203</t>
  </si>
  <si>
    <t>N-1339</t>
  </si>
  <si>
    <t>N-1391</t>
  </si>
  <si>
    <t>Hannah Rossi</t>
  </si>
  <si>
    <t>S/7023</t>
  </si>
  <si>
    <t>S/7094</t>
  </si>
  <si>
    <t>S/7218</t>
  </si>
  <si>
    <t>Chloe Khan</t>
  </si>
  <si>
    <t>S/7294</t>
  </si>
  <si>
    <t>W50077</t>
  </si>
  <si>
    <t>W50292</t>
  </si>
  <si>
    <t>W50351</t>
  </si>
  <si>
    <t>W50418</t>
  </si>
  <si>
    <t>Liam Clarke</t>
  </si>
  <si>
    <t>N-1009</t>
  </si>
  <si>
    <t>N-1234</t>
  </si>
  <si>
    <t>N-1248</t>
  </si>
  <si>
    <t>S/7029</t>
  </si>
  <si>
    <t>S/7076</t>
  </si>
  <si>
    <t>W50023</t>
  </si>
  <si>
    <t>W50200</t>
  </si>
  <si>
    <t>W50278</t>
  </si>
  <si>
    <t>N-1016</t>
  </si>
  <si>
    <t>Olivia Wilson</t>
  </si>
  <si>
    <t>N-1076</t>
  </si>
  <si>
    <t>N-1148</t>
  </si>
  <si>
    <t>N-1327</t>
  </si>
  <si>
    <t>N-1403</t>
  </si>
  <si>
    <t>S/7124</t>
  </si>
  <si>
    <t>S/7144</t>
  </si>
  <si>
    <t>S/7154</t>
  </si>
  <si>
    <t>W50183</t>
  </si>
  <si>
    <t>Hannah Malik</t>
  </si>
  <si>
    <t>W50195</t>
  </si>
  <si>
    <t>N-1026</t>
  </si>
  <si>
    <t>N-1140</t>
  </si>
  <si>
    <t>W50152</t>
  </si>
  <si>
    <t>W50174</t>
  </si>
  <si>
    <t>W50276</t>
  </si>
  <si>
    <t>W50443</t>
  </si>
  <si>
    <t>N-1155</t>
  </si>
  <si>
    <t>N-1224</t>
  </si>
  <si>
    <t>Noah Clarke</t>
  </si>
  <si>
    <t>S/7145</t>
  </si>
  <si>
    <t>S/7150</t>
  </si>
  <si>
    <t>S/7215</t>
  </si>
  <si>
    <t>Bilal Davis</t>
  </si>
  <si>
    <t>W50064</t>
  </si>
  <si>
    <t>W50181</t>
  </si>
  <si>
    <t>W50297</t>
  </si>
  <si>
    <t>W50306</t>
  </si>
  <si>
    <t>W50438</t>
  </si>
  <si>
    <t>W50495</t>
  </si>
  <si>
    <t>N-1030</t>
  </si>
  <si>
    <t>N-1043</t>
  </si>
  <si>
    <t>Usman Raza</t>
  </si>
  <si>
    <t>N-1227</t>
  </si>
  <si>
    <t>N-1272</t>
  </si>
  <si>
    <t>Ethan Walker</t>
  </si>
  <si>
    <t>S/7060</t>
  </si>
  <si>
    <t>S/7148</t>
  </si>
  <si>
    <t>S/7330</t>
  </si>
  <si>
    <t>W50044</t>
  </si>
  <si>
    <t>Emma Rossi</t>
  </si>
  <si>
    <t>W50293</t>
  </si>
  <si>
    <t>W50498</t>
  </si>
  <si>
    <t>N-1028</t>
  </si>
  <si>
    <t>Bilal Walker</t>
  </si>
  <si>
    <t>N-1138</t>
  </si>
  <si>
    <t>Maya Hussain</t>
  </si>
  <si>
    <t>N-1182</t>
  </si>
  <si>
    <t>Omar Moore</t>
  </si>
  <si>
    <t>S/7114</t>
  </si>
  <si>
    <t>S/7296</t>
  </si>
  <si>
    <t>W50145</t>
  </si>
  <si>
    <t>W50371</t>
  </si>
  <si>
    <t>W50426</t>
  </si>
  <si>
    <t>Bilal Miller</t>
  </si>
  <si>
    <t>N-1073</t>
  </si>
  <si>
    <t>N-1358</t>
  </si>
  <si>
    <t>Hannah Raza</t>
  </si>
  <si>
    <t>N-1377</t>
  </si>
  <si>
    <t>N-1381</t>
  </si>
  <si>
    <t>S/7042</t>
  </si>
  <si>
    <t>S/7250</t>
  </si>
  <si>
    <t>W50178</t>
  </si>
  <si>
    <t>W50282</t>
  </si>
  <si>
    <t>W50479</t>
  </si>
  <si>
    <t>N-1111</t>
  </si>
  <si>
    <t>S/7327</t>
  </si>
  <si>
    <t>Ethan Wilson</t>
  </si>
  <si>
    <t>W50067</t>
  </si>
  <si>
    <t>Usman Miller</t>
  </si>
  <si>
    <t>W50254</t>
  </si>
  <si>
    <t>Emma Davis</t>
  </si>
  <si>
    <t>W50487</t>
  </si>
  <si>
    <t>N-1290</t>
  </si>
  <si>
    <t>Usman Iqbal</t>
  </si>
  <si>
    <t>S/7332</t>
  </si>
  <si>
    <t>W50054</t>
  </si>
  <si>
    <t>W50115</t>
  </si>
  <si>
    <t>W50243</t>
  </si>
  <si>
    <t>W50265</t>
  </si>
  <si>
    <t>W50501</t>
  </si>
  <si>
    <t>N-1033</t>
  </si>
  <si>
    <t>N-1147</t>
  </si>
  <si>
    <t>N-1229</t>
  </si>
  <si>
    <t>Fatima Wilson</t>
  </si>
  <si>
    <t>N-1410</t>
  </si>
  <si>
    <t>W50005</t>
  </si>
  <si>
    <t>W50006</t>
  </si>
  <si>
    <t>Emma Patel</t>
  </si>
  <si>
    <t>W50026</t>
  </si>
  <si>
    <t>N-1014</t>
  </si>
  <si>
    <t>N-1020</t>
  </si>
  <si>
    <t>N-1159</t>
  </si>
  <si>
    <t>N-1212</t>
  </si>
  <si>
    <t>Daniel Sheikh</t>
  </si>
  <si>
    <t>S/7059</t>
  </si>
  <si>
    <t>S/7090</t>
  </si>
  <si>
    <t>S/7295</t>
  </si>
  <si>
    <t>W50021</t>
  </si>
  <si>
    <t>Emma Sheikh</t>
  </si>
  <si>
    <t>W50435</t>
  </si>
  <si>
    <t>W50473</t>
  </si>
  <si>
    <t>Daniel Taylor</t>
  </si>
  <si>
    <t>N-1010</t>
  </si>
  <si>
    <t>N-1210</t>
  </si>
  <si>
    <t>N-1215</t>
  </si>
  <si>
    <t>S/7344</t>
  </si>
  <si>
    <t>W50046</t>
  </si>
  <si>
    <t>W50139</t>
  </si>
  <si>
    <t>W50352</t>
  </si>
  <si>
    <t>Daniel Khan</t>
  </si>
  <si>
    <t>N-1264</t>
  </si>
  <si>
    <t>N-1420</t>
  </si>
  <si>
    <t>Ayesha Sheikh</t>
  </si>
  <si>
    <t>S/7264</t>
  </si>
  <si>
    <t>Zara Miller</t>
  </si>
  <si>
    <t>W50199</t>
  </si>
  <si>
    <t>W50509</t>
  </si>
  <si>
    <t>N-1201</t>
  </si>
  <si>
    <t>N-1211</t>
  </si>
  <si>
    <t>N-1319</t>
  </si>
  <si>
    <t>N-1348</t>
  </si>
  <si>
    <t>Ali Davis</t>
  </si>
  <si>
    <t>S/7281</t>
  </si>
  <si>
    <t>N-1254</t>
  </si>
  <si>
    <t>W50106</t>
  </si>
  <si>
    <t>Sofia Malik</t>
  </si>
  <si>
    <t>W50136</t>
  </si>
  <si>
    <t>W50272</t>
  </si>
  <si>
    <t>W50413</t>
  </si>
  <si>
    <t>N-1141</t>
  </si>
  <si>
    <t>Hannah Brown</t>
  </si>
  <si>
    <t>N-1190</t>
  </si>
  <si>
    <t>N-1228</t>
  </si>
  <si>
    <t>S/7200</t>
  </si>
  <si>
    <t>S/7311</t>
  </si>
  <si>
    <t>W50149</t>
  </si>
  <si>
    <t>W50194</t>
  </si>
  <si>
    <t>Daniel Raza</t>
  </si>
  <si>
    <t>W50220</t>
  </si>
  <si>
    <t>Olivia Rossi</t>
  </si>
  <si>
    <t>W50238</t>
  </si>
  <si>
    <t>W50326</t>
  </si>
  <si>
    <t>N-1346</t>
  </si>
  <si>
    <t>S/7237</t>
  </si>
  <si>
    <t>S/7257</t>
  </si>
  <si>
    <t>W50065</t>
  </si>
  <si>
    <t>W50158</t>
  </si>
  <si>
    <t>W50231</t>
  </si>
  <si>
    <t>Chloe Ahmed</t>
  </si>
  <si>
    <t>N-1091</t>
  </si>
  <si>
    <t>N-1332</t>
  </si>
  <si>
    <t>S/7100</t>
  </si>
  <si>
    <t>S/7236</t>
  </si>
  <si>
    <t>S/7293</t>
  </si>
  <si>
    <t>S/7312</t>
  </si>
  <si>
    <t>Sofia Moore</t>
  </si>
  <si>
    <t>W50034</t>
  </si>
  <si>
    <t>W50079</t>
  </si>
  <si>
    <t>Ali Sheikh</t>
  </si>
  <si>
    <t>W50399</t>
  </si>
  <si>
    <t>Usman Ahmed</t>
  </si>
  <si>
    <t>W50445</t>
  </si>
  <si>
    <t>Ethan Miller</t>
  </si>
  <si>
    <t>N-1176</t>
  </si>
  <si>
    <t>N-1384</t>
  </si>
  <si>
    <t>S/7036</t>
  </si>
  <si>
    <t>S/7053</t>
  </si>
  <si>
    <t>W50335</t>
  </si>
  <si>
    <t>W50343</t>
  </si>
  <si>
    <t>Ethan Butt</t>
  </si>
  <si>
    <t>W50465</t>
  </si>
  <si>
    <t>N-1021</t>
  </si>
  <si>
    <t>Hannah Moore</t>
  </si>
  <si>
    <t>N-1266</t>
  </si>
  <si>
    <t>N-1303</t>
  </si>
  <si>
    <t>S/7034</t>
  </si>
  <si>
    <t>S/7238</t>
  </si>
  <si>
    <t>W50120</t>
  </si>
  <si>
    <t>W50419</t>
  </si>
  <si>
    <t>W50506</t>
  </si>
  <si>
    <t>N-1074</t>
  </si>
  <si>
    <t>N-1135</t>
  </si>
  <si>
    <t>N-1179</t>
  </si>
  <si>
    <t>S/7118</t>
  </si>
  <si>
    <t>S/7224</t>
  </si>
  <si>
    <t>S/7272</t>
  </si>
  <si>
    <t>W50212</t>
  </si>
  <si>
    <t>Omar Davis</t>
  </si>
  <si>
    <t>W50329</t>
  </si>
  <si>
    <t>W50431</t>
  </si>
  <si>
    <t>N-1049</t>
  </si>
  <si>
    <t>Chloe Moore</t>
  </si>
  <si>
    <t>N-1149</t>
  </si>
  <si>
    <t>N-1340</t>
  </si>
  <si>
    <t>S/7098</t>
  </si>
  <si>
    <t>W50180</t>
  </si>
  <si>
    <t>Daniel Moore</t>
  </si>
  <si>
    <t>W50225</t>
  </si>
  <si>
    <t>Emma Taylor</t>
  </si>
  <si>
    <t>W50303</t>
  </si>
  <si>
    <t>Ayesha Ahmed</t>
  </si>
  <si>
    <t>W50384</t>
  </si>
  <si>
    <t>W50408</t>
  </si>
  <si>
    <t>S/7302</t>
  </si>
  <si>
    <t>Liam Rossi</t>
  </si>
  <si>
    <t>W50072</t>
  </si>
  <si>
    <t>Daniel Walker</t>
  </si>
  <si>
    <t>W50330</t>
  </si>
  <si>
    <t>Emma Ahmed</t>
  </si>
  <si>
    <t>W50345</t>
  </si>
  <si>
    <t>N-1075</t>
  </si>
  <si>
    <t>S/7035</t>
  </si>
  <si>
    <t>W50289</t>
  </si>
  <si>
    <t>W50308</t>
  </si>
  <si>
    <t>Liam Wilson</t>
  </si>
  <si>
    <t>N-1035</t>
  </si>
  <si>
    <t>N-1063</t>
  </si>
  <si>
    <t>S/7106</t>
  </si>
  <si>
    <t>S/7115</t>
  </si>
  <si>
    <t>Ali Rossi</t>
  </si>
  <si>
    <t>W50039</t>
  </si>
  <si>
    <t>W50059</t>
  </si>
  <si>
    <t>W50091</t>
  </si>
  <si>
    <t>W50321</t>
  </si>
  <si>
    <t>W50402</t>
  </si>
  <si>
    <t>W50499</t>
  </si>
  <si>
    <t>N-1012</t>
  </si>
  <si>
    <t>N-1239</t>
  </si>
  <si>
    <t>N-1372</t>
  </si>
  <si>
    <t>N-1411</t>
  </si>
  <si>
    <t>W50256</t>
  </si>
  <si>
    <t>N-1214</t>
  </si>
  <si>
    <t>N-1298</t>
  </si>
  <si>
    <t>N-1409</t>
  </si>
  <si>
    <t>S/7046</t>
  </si>
  <si>
    <t>S/7208</t>
  </si>
  <si>
    <t>S/7222</t>
  </si>
  <si>
    <t>S/7354</t>
  </si>
  <si>
    <t>W50202</t>
  </si>
  <si>
    <t>W50235</t>
  </si>
  <si>
    <t>Ethan Rossi</t>
  </si>
  <si>
    <t>W50517</t>
  </si>
  <si>
    <t>N-1034</t>
  </si>
  <si>
    <t>N-1154</t>
  </si>
  <si>
    <t>N-1368</t>
  </si>
  <si>
    <t>N-1389</t>
  </si>
  <si>
    <t>S/7030</t>
  </si>
  <si>
    <t>W50252</t>
  </si>
  <si>
    <t>N-1189</t>
  </si>
  <si>
    <t>N-1361</t>
  </si>
  <si>
    <t>S/7005</t>
  </si>
  <si>
    <t>S/7307</t>
  </si>
  <si>
    <t>S/7355</t>
  </si>
  <si>
    <t>W50452</t>
  </si>
  <si>
    <t>W50507</t>
  </si>
  <si>
    <t>Fatima Butt</t>
  </si>
  <si>
    <t>N-1169</t>
  </si>
  <si>
    <t>Omar Clarke</t>
  </si>
  <si>
    <t>N-1329</t>
  </si>
  <si>
    <t>N-1401</t>
  </si>
  <si>
    <t>S/7024</t>
  </si>
  <si>
    <t>W50036</t>
  </si>
  <si>
    <t>W50112</t>
  </si>
  <si>
    <t>Olivia Malik</t>
  </si>
  <si>
    <t>W50480</t>
  </si>
  <si>
    <t>N-1296</t>
  </si>
  <si>
    <t>S/7183</t>
  </si>
  <si>
    <t>S/7262</t>
  </si>
  <si>
    <t>W50146</t>
  </si>
  <si>
    <t>W50161</t>
  </si>
  <si>
    <t>N-1025</t>
  </si>
  <si>
    <t>N-1279</t>
  </si>
  <si>
    <t>N-1350</t>
  </si>
  <si>
    <t>N-1402</t>
  </si>
  <si>
    <t>Hassan Raza</t>
  </si>
  <si>
    <t>S/7219</t>
  </si>
  <si>
    <t>N-1395</t>
  </si>
  <si>
    <t>S/7126</t>
  </si>
  <si>
    <t>S/7137</t>
  </si>
  <si>
    <t>Ayesha Moore</t>
  </si>
  <si>
    <t>S/7290</t>
  </si>
  <si>
    <t>W50323</t>
  </si>
  <si>
    <t>N-1156</t>
  </si>
  <si>
    <t>N-1184</t>
  </si>
  <si>
    <t>N-1369</t>
  </si>
  <si>
    <t>S/7280</t>
  </si>
  <si>
    <t>W50073</t>
  </si>
  <si>
    <t>W50075</t>
  </si>
  <si>
    <t>Omar Patel</t>
  </si>
  <si>
    <t>W50094</t>
  </si>
  <si>
    <t>W50176</t>
  </si>
  <si>
    <t>W50245</t>
  </si>
  <si>
    <t>W50253</t>
  </si>
  <si>
    <t>Hannah Ahmed</t>
  </si>
  <si>
    <t>W50468</t>
  </si>
  <si>
    <t>N-1269</t>
  </si>
  <si>
    <t>S/7209</t>
  </si>
  <si>
    <t>S/7227</t>
  </si>
  <si>
    <t>W50063</t>
  </si>
  <si>
    <t>W50470</t>
  </si>
  <si>
    <t>W50483</t>
  </si>
  <si>
    <t>S/7203</t>
  </si>
  <si>
    <t>W50143</t>
  </si>
  <si>
    <t>Fatima Patel</t>
  </si>
  <si>
    <t>W50205</t>
  </si>
  <si>
    <t>W50223</t>
  </si>
  <si>
    <t>Maya Wilson</t>
  </si>
  <si>
    <t>W50407</t>
  </si>
  <si>
    <t>S/7348</t>
  </si>
  <si>
    <t>N-1236</t>
  </si>
  <si>
    <t>N-1308</t>
  </si>
  <si>
    <t>S/7027</t>
  </si>
  <si>
    <t>S/7343</t>
  </si>
  <si>
    <t>W50353</t>
  </si>
  <si>
    <t>W50398</t>
  </si>
  <si>
    <t>W50446</t>
  </si>
  <si>
    <t>N-1022</t>
  </si>
  <si>
    <t>N-1106</t>
  </si>
  <si>
    <t>N-1205</t>
  </si>
  <si>
    <t>S/7097</t>
  </si>
  <si>
    <t>S/7193</t>
  </si>
  <si>
    <t>Ayesha Hussain</t>
  </si>
  <si>
    <t>S/7205</t>
  </si>
  <si>
    <t>S/7288</t>
  </si>
  <si>
    <t>W50395</t>
  </si>
  <si>
    <t>N-1292</t>
  </si>
  <si>
    <t>Emma Malik</t>
  </si>
  <si>
    <t>S/7037</t>
  </si>
  <si>
    <t>S/7147</t>
  </si>
  <si>
    <t>S/7234</t>
  </si>
  <si>
    <t>S/7267</t>
  </si>
  <si>
    <t>W50074</t>
  </si>
  <si>
    <t>W50172</t>
  </si>
  <si>
    <t>W50188</t>
  </si>
  <si>
    <t>W50346</t>
  </si>
  <si>
    <t>N-1032</t>
  </si>
  <si>
    <t>Noah Malik</t>
  </si>
  <si>
    <t>N-1077</t>
  </si>
  <si>
    <t>N-1113</t>
  </si>
  <si>
    <t>N-1370</t>
  </si>
  <si>
    <t>S/7084</t>
  </si>
  <si>
    <t>S/7099</t>
  </si>
  <si>
    <t>S/7336</t>
  </si>
  <si>
    <t>W50080</t>
  </si>
  <si>
    <t>W50092</t>
  </si>
  <si>
    <t>W50095</t>
  </si>
  <si>
    <t>N-1136</t>
  </si>
  <si>
    <t>N-1161</t>
  </si>
  <si>
    <t>N-1253</t>
  </si>
  <si>
    <t>Usman Walker</t>
  </si>
  <si>
    <t>N-1393</t>
  </si>
  <si>
    <t>S/7303</t>
  </si>
  <si>
    <t>S/7339</t>
  </si>
  <si>
    <t>W50093</t>
  </si>
  <si>
    <t>W50113</t>
  </si>
  <si>
    <t>Liam Moore</t>
  </si>
  <si>
    <t>W50240</t>
  </si>
  <si>
    <t>N-1143</t>
  </si>
  <si>
    <t>N-1321</t>
  </si>
  <si>
    <t>N-1103</t>
  </si>
  <si>
    <t>N-1314</t>
  </si>
  <si>
    <t>S/7087</t>
  </si>
  <si>
    <t>S/7180</t>
  </si>
  <si>
    <t>N-1018</t>
  </si>
  <si>
    <t>N-1129</t>
  </si>
  <si>
    <t>N-1160</t>
  </si>
  <si>
    <t>S/7074</t>
  </si>
  <si>
    <t>S/7178</t>
  </si>
  <si>
    <t>W50362</t>
  </si>
  <si>
    <t>N-1123</t>
  </si>
  <si>
    <t>N-1145</t>
  </si>
  <si>
    <t>S/7107</t>
  </si>
  <si>
    <t>S/7301</t>
  </si>
  <si>
    <t>W50285</t>
  </si>
  <si>
    <t>Liam Miller</t>
  </si>
  <si>
    <t>W50421</t>
  </si>
  <si>
    <t>N-1061</t>
  </si>
  <si>
    <t>W50422</t>
  </si>
  <si>
    <t>N-1144</t>
  </si>
  <si>
    <t>N-1247</t>
  </si>
  <si>
    <t>N-1259</t>
  </si>
  <si>
    <t>N-1287</t>
  </si>
  <si>
    <t>S/7013</t>
  </si>
  <si>
    <t>Hannah Hussain</t>
  </si>
  <si>
    <t>S/7256</t>
  </si>
  <si>
    <t>S/7259</t>
  </si>
  <si>
    <t>Zara Davis</t>
  </si>
  <si>
    <t>S/7265</t>
  </si>
  <si>
    <t>S/7278</t>
  </si>
  <si>
    <t>W50001</t>
  </si>
  <si>
    <t>W50221</t>
  </si>
  <si>
    <t>W50258</t>
  </si>
  <si>
    <t>Zara Rossi</t>
  </si>
  <si>
    <t>N-1055</t>
  </si>
  <si>
    <t>N-1342</t>
  </si>
  <si>
    <t>S/7122</t>
  </si>
  <si>
    <t>W50383</t>
  </si>
  <si>
    <t>S/7143</t>
  </si>
  <si>
    <t>S/7261</t>
  </si>
  <si>
    <t>S/7266</t>
  </si>
  <si>
    <t>W50003</t>
  </si>
  <si>
    <t>W50119</t>
  </si>
  <si>
    <t>Fatima Ahmed</t>
  </si>
  <si>
    <t>W50217</t>
  </si>
  <si>
    <t>W50219</t>
  </si>
  <si>
    <t>W50344</t>
  </si>
  <si>
    <t>W50463</t>
  </si>
  <si>
    <t>W50515</t>
  </si>
  <si>
    <t>S/7015</t>
  </si>
  <si>
    <t>W50084</t>
  </si>
  <si>
    <t>W50132</t>
  </si>
  <si>
    <t>W50302</t>
  </si>
  <si>
    <t>W50387</t>
  </si>
  <si>
    <t>W50424</t>
  </si>
  <si>
    <t>N-1392</t>
  </si>
  <si>
    <t>S/7175</t>
  </si>
  <si>
    <t>W50009</t>
  </si>
  <si>
    <t>W50213</t>
  </si>
  <si>
    <t>N-1151</t>
  </si>
  <si>
    <t>S/7325</t>
  </si>
  <si>
    <t>W50062</t>
  </si>
  <si>
    <t>Hassan Moore</t>
  </si>
  <si>
    <t>W50234</t>
  </si>
  <si>
    <t>W50328</t>
  </si>
  <si>
    <t>N-1092</t>
  </si>
  <si>
    <t>N-1096</t>
  </si>
  <si>
    <t>Olivia Davis</t>
  </si>
  <si>
    <t>N-1288</t>
  </si>
  <si>
    <t>Ethan Khan</t>
  </si>
  <si>
    <t>N-1313</t>
  </si>
  <si>
    <t>S/7204</t>
  </si>
  <si>
    <t>S/7245</t>
  </si>
  <si>
    <t>W50216</t>
  </si>
  <si>
    <t>N-1233</t>
  </si>
  <si>
    <t>N-1343</t>
  </si>
  <si>
    <t>S/7194</t>
  </si>
  <si>
    <t>S/7217</t>
  </si>
  <si>
    <t>W50317</t>
  </si>
  <si>
    <t>N-1044</t>
  </si>
  <si>
    <t>N-1222</t>
  </si>
  <si>
    <t>N-1280</t>
  </si>
  <si>
    <t>N-1293</t>
  </si>
  <si>
    <t>S/7233</t>
  </si>
  <si>
    <t>W50334</t>
  </si>
  <si>
    <t>W50365</t>
  </si>
  <si>
    <t>N-1038</t>
  </si>
  <si>
    <t>N-1090</t>
  </si>
  <si>
    <t>S/7091</t>
  </si>
  <si>
    <t>S/7127</t>
  </si>
  <si>
    <t>S/7138</t>
  </si>
  <si>
    <t>S/7320</t>
  </si>
  <si>
    <t>W50010</t>
  </si>
  <si>
    <t>W50142</t>
  </si>
  <si>
    <t>N-1008</t>
  </si>
  <si>
    <t>N-1115</t>
  </si>
  <si>
    <t>N-1131</t>
  </si>
  <si>
    <t>N-1198</t>
  </si>
  <si>
    <t>S/7043</t>
  </si>
  <si>
    <t>S/7181</t>
  </si>
  <si>
    <t>W50082</t>
  </si>
  <si>
    <t>W50241</t>
  </si>
  <si>
    <t>W50296</t>
  </si>
  <si>
    <t>N-1246</t>
  </si>
  <si>
    <t>N-1276</t>
  </si>
  <si>
    <t>N-1283</t>
  </si>
  <si>
    <t>S/7010</t>
  </si>
  <si>
    <t>Maya Butt</t>
  </si>
  <si>
    <t>S/7229</t>
  </si>
  <si>
    <t>S/7304</t>
  </si>
  <si>
    <t>S/7349</t>
  </si>
  <si>
    <t>W50017</t>
  </si>
  <si>
    <t>W50374</t>
  </si>
  <si>
    <t>W50377</t>
  </si>
  <si>
    <t>N-1013</t>
  </si>
  <si>
    <t>N-1121</t>
  </si>
  <si>
    <t>N-1174</t>
  </si>
  <si>
    <t>N-1213</t>
  </si>
  <si>
    <t>N-1256</t>
  </si>
  <si>
    <t>S/7038</t>
  </si>
  <si>
    <t>S/7168</t>
  </si>
  <si>
    <t>W50012</t>
  </si>
  <si>
    <t>W50037</t>
  </si>
  <si>
    <t>W50168</t>
  </si>
  <si>
    <t>W50456</t>
  </si>
  <si>
    <t>N-1027</t>
  </si>
  <si>
    <t>S/7095</t>
  </si>
  <si>
    <t>S/7243</t>
  </si>
  <si>
    <t>W50441</t>
  </si>
  <si>
    <t>N-1157</t>
  </si>
  <si>
    <t>N-1261</t>
  </si>
  <si>
    <t>S/7109</t>
  </si>
  <si>
    <t>S/7152</t>
  </si>
  <si>
    <t>S/7318</t>
  </si>
  <si>
    <t>Ali Clarke</t>
  </si>
  <si>
    <t>S/7326</t>
  </si>
  <si>
    <t>W50098</t>
  </si>
  <si>
    <t>W50108</t>
  </si>
  <si>
    <t>Hannah Wilson</t>
  </si>
  <si>
    <t>W50186</t>
  </si>
  <si>
    <t>N-1095</t>
  </si>
  <si>
    <t>Olivia Khan</t>
  </si>
  <si>
    <t>N-1282</t>
  </si>
  <si>
    <t>N-1291</t>
  </si>
  <si>
    <t>N-1299</t>
  </si>
  <si>
    <t>N-1302</t>
  </si>
  <si>
    <t>N-1386</t>
  </si>
  <si>
    <t>S/7113</t>
  </si>
  <si>
    <t>S/7184</t>
  </si>
  <si>
    <t>W50177</t>
  </si>
  <si>
    <t>N-1011</t>
  </si>
  <si>
    <t>N-1173</t>
  </si>
  <si>
    <t>N-1219</t>
  </si>
  <si>
    <t>N-1257</t>
  </si>
  <si>
    <t>S/7136</t>
  </si>
  <si>
    <t>S/7139</t>
  </si>
  <si>
    <t>S/7146</t>
  </si>
  <si>
    <t>S/7174</t>
  </si>
  <si>
    <t>W50190</t>
  </si>
  <si>
    <t>W50355</t>
  </si>
  <si>
    <t>W50425</t>
  </si>
  <si>
    <t>N-1060</t>
  </si>
  <si>
    <t>N-1086</t>
  </si>
  <si>
    <t>N-1124</t>
  </si>
  <si>
    <t>N-1323</t>
  </si>
  <si>
    <t>Zara Walker</t>
  </si>
  <si>
    <t>N-1335</t>
  </si>
  <si>
    <t>S/7167</t>
  </si>
  <si>
    <t>S/7190</t>
  </si>
  <si>
    <t>W50050</t>
  </si>
  <si>
    <t>W50380</t>
  </si>
  <si>
    <t>S/7108</t>
  </si>
  <si>
    <t>S/7287</t>
  </si>
  <si>
    <t>W50018</t>
  </si>
  <si>
    <t>W50248</t>
  </si>
  <si>
    <t>Fatima Raza</t>
  </si>
  <si>
    <t>W50263</t>
  </si>
  <si>
    <t>W50314</t>
  </si>
  <si>
    <t>W50467</t>
  </si>
  <si>
    <t>N-1084</t>
  </si>
  <si>
    <t>S/7188</t>
  </si>
  <si>
    <t>Daniel Hussain</t>
  </si>
  <si>
    <t>S/7232</t>
  </si>
  <si>
    <t>W50429</t>
  </si>
  <si>
    <t>W50505</t>
  </si>
  <si>
    <t>N-1072</t>
  </si>
  <si>
    <t>N-1164</t>
  </si>
  <si>
    <t>N-1225</t>
  </si>
  <si>
    <t>N-1265</t>
  </si>
  <si>
    <t>N-1373</t>
  </si>
  <si>
    <t>S/7026</t>
  </si>
  <si>
    <t>S/7116</t>
  </si>
  <si>
    <t>S/7140</t>
  </si>
  <si>
    <t>W50086</t>
  </si>
  <si>
    <t>W50114</t>
  </si>
  <si>
    <t>W50206</t>
  </si>
  <si>
    <t>N-1101</t>
  </si>
  <si>
    <t>S/7031</t>
  </si>
  <si>
    <t>Omar Brown</t>
  </si>
  <si>
    <t>S/7196</t>
  </si>
  <si>
    <t>W50111</t>
  </si>
  <si>
    <t>W50322</t>
  </si>
  <si>
    <t>W50491</t>
  </si>
  <si>
    <t>N-1240</t>
  </si>
  <si>
    <t>S/7135</t>
  </si>
  <si>
    <t>S/7170</t>
  </si>
  <si>
    <t>S/7328</t>
  </si>
  <si>
    <t>Omar Malik</t>
  </si>
  <si>
    <t>W50024</t>
  </si>
  <si>
    <t>W50030</t>
  </si>
  <si>
    <t>W50041</t>
  </si>
  <si>
    <t>W50516</t>
  </si>
  <si>
    <t>N-1186</t>
  </si>
  <si>
    <t>S/7248</t>
  </si>
  <si>
    <t>W50078</t>
  </si>
  <si>
    <t>W50144</t>
  </si>
  <si>
    <t>Usman Hussain</t>
  </si>
  <si>
    <t>W50259</t>
  </si>
  <si>
    <t>W50264</t>
  </si>
  <si>
    <t>Bilal Malik</t>
  </si>
  <si>
    <t>W50366</t>
  </si>
  <si>
    <t>W50392</t>
  </si>
  <si>
    <t>N-1325</t>
  </si>
  <si>
    <t>N-1345</t>
  </si>
  <si>
    <t>N-1379</t>
  </si>
  <si>
    <t>S/7317</t>
  </si>
  <si>
    <t>W50102</t>
  </si>
  <si>
    <t>N-1243</t>
  </si>
  <si>
    <t>N-1338</t>
  </si>
  <si>
    <t>S/7071</t>
  </si>
  <si>
    <t>S/7211</t>
  </si>
  <si>
    <t>N-1118</t>
  </si>
  <si>
    <t>Ali Ahmed</t>
  </si>
  <si>
    <t>S/7049</t>
  </si>
  <si>
    <t>Ali Brown</t>
  </si>
  <si>
    <t>S/7235</t>
  </si>
  <si>
    <t>W50201</t>
  </si>
  <si>
    <t>W50316</t>
  </si>
  <si>
    <t>W50416</t>
  </si>
  <si>
    <t>N-1050</t>
  </si>
  <si>
    <t>N-1388</t>
  </si>
  <si>
    <t>S/7210</t>
  </si>
  <si>
    <t>S/7228</t>
  </si>
  <si>
    <t>W50027</t>
  </si>
  <si>
    <t>W50103</t>
  </si>
  <si>
    <t>W50131</t>
  </si>
  <si>
    <t>Olivia Brown</t>
  </si>
  <si>
    <t>W50360</t>
  </si>
  <si>
    <t>W50364</t>
  </si>
  <si>
    <t>N-1120</t>
  </si>
  <si>
    <t>N-1363</t>
  </si>
  <si>
    <t>N-1366</t>
  </si>
  <si>
    <t>S/7061</t>
  </si>
  <si>
    <t>S/7073</t>
  </si>
  <si>
    <t>S/7187</t>
  </si>
  <si>
    <t>Fatima Brown</t>
  </si>
  <si>
    <t>S/7323</t>
  </si>
  <si>
    <t>W50236</t>
  </si>
  <si>
    <t>W50518</t>
  </si>
  <si>
    <t>N-1031</t>
  </si>
  <si>
    <t>N-1336</t>
  </si>
  <si>
    <t>S/7164</t>
  </si>
  <si>
    <t>S/7279</t>
  </si>
  <si>
    <t>S/7284</t>
  </si>
  <si>
    <t>W50192</t>
  </si>
  <si>
    <t>W50210</t>
  </si>
  <si>
    <t>W50233</t>
  </si>
  <si>
    <t>W50349</t>
  </si>
  <si>
    <t>N-1221</t>
  </si>
  <si>
    <t>Chloe Walker</t>
  </si>
  <si>
    <t>N-1349</t>
  </si>
  <si>
    <t>N-1414</t>
  </si>
  <si>
    <t>S/7166</t>
  </si>
  <si>
    <t>W50022</t>
  </si>
  <si>
    <t>W50055</t>
  </si>
  <si>
    <t>W50099</t>
  </si>
  <si>
    <t>W50269</t>
  </si>
  <si>
    <t>W50273</t>
  </si>
  <si>
    <t>W50503</t>
  </si>
  <si>
    <t>N-1017</t>
  </si>
  <si>
    <t>N-1040</t>
  </si>
  <si>
    <t>N-1107</t>
  </si>
  <si>
    <t>S/7075</t>
  </si>
  <si>
    <t>W50020</t>
  </si>
  <si>
    <t>W50378</t>
  </si>
  <si>
    <t>W50475</t>
  </si>
  <si>
    <t>N-1267</t>
  </si>
  <si>
    <t>N-1305</t>
  </si>
  <si>
    <t>S/7133</t>
  </si>
  <si>
    <t>S/7206</t>
  </si>
  <si>
    <t>S/7359</t>
  </si>
  <si>
    <t>W50032</t>
  </si>
  <si>
    <t>W50171</t>
  </si>
  <si>
    <t>W50338</t>
  </si>
  <si>
    <t>N-1047</t>
  </si>
  <si>
    <t>N-1183</t>
  </si>
  <si>
    <t>N-1353</t>
  </si>
  <si>
    <t>S/7001</t>
  </si>
  <si>
    <t>W50134</t>
  </si>
  <si>
    <t>W50336</t>
  </si>
  <si>
    <t>W50508</t>
  </si>
  <si>
    <t>N-1006</t>
  </si>
  <si>
    <t>N-1193</t>
  </si>
  <si>
    <t>N-1399</t>
  </si>
  <si>
    <t>N-1413</t>
  </si>
  <si>
    <t>S/7054</t>
  </si>
  <si>
    <t>S/7149</t>
  </si>
  <si>
    <t>W50058</t>
  </si>
  <si>
    <t>W50089</t>
  </si>
  <si>
    <t>W50459</t>
  </si>
  <si>
    <t>N-1250</t>
  </si>
  <si>
    <t>N-1273</t>
  </si>
  <si>
    <t>N-1418</t>
  </si>
  <si>
    <t>W50197</t>
  </si>
  <si>
    <t>W50414</t>
  </si>
  <si>
    <t>N-1285</t>
  </si>
  <si>
    <t>S/7142</t>
  </si>
  <si>
    <t>S/7223</t>
  </si>
  <si>
    <t>S/7352</t>
  </si>
  <si>
    <t>W50283</t>
  </si>
  <si>
    <t>N-1232</t>
  </si>
  <si>
    <t>S/7033</t>
  </si>
  <si>
    <t>S/7047</t>
  </si>
  <si>
    <t>W50458</t>
  </si>
  <si>
    <t>S/7185</t>
  </si>
  <si>
    <t>S/7254</t>
  </si>
  <si>
    <t>W50121</t>
  </si>
  <si>
    <t>W50230</t>
  </si>
  <si>
    <t>W50342</t>
  </si>
  <si>
    <t>N-1093</t>
  </si>
  <si>
    <t>N-1294</t>
  </si>
  <si>
    <t>S/7305</t>
  </si>
  <si>
    <t>W50198</t>
  </si>
  <si>
    <t>W50324</t>
  </si>
  <si>
    <t>W50453</t>
  </si>
  <si>
    <t>N-1002</t>
  </si>
  <si>
    <t>N-1352</t>
  </si>
  <si>
    <t>S/7271</t>
  </si>
  <si>
    <t>W50280</t>
  </si>
  <si>
    <t>W50433</t>
  </si>
  <si>
    <t>W50464</t>
  </si>
  <si>
    <t>N-1099</t>
  </si>
  <si>
    <t>N-1289</t>
  </si>
  <si>
    <t>W50187</t>
  </si>
  <si>
    <t>N-1180</t>
  </si>
  <si>
    <t>N-1217</t>
  </si>
  <si>
    <t>N-1275</t>
  </si>
  <si>
    <t>S/7171</t>
  </si>
  <si>
    <t>S/7351</t>
  </si>
  <si>
    <t>N-1128</t>
  </si>
  <si>
    <t>N-1142</t>
  </si>
  <si>
    <t>N-1328</t>
  </si>
  <si>
    <t>S/7039</t>
  </si>
  <si>
    <t>Fatima Taylor</t>
  </si>
  <si>
    <t>S/7077</t>
  </si>
  <si>
    <t>S/7082</t>
  </si>
  <si>
    <t>S/7191</t>
  </si>
  <si>
    <t>S/7225</t>
  </si>
  <si>
    <t>W50124</t>
  </si>
  <si>
    <t>W50138</t>
  </si>
  <si>
    <t>W50159</t>
  </si>
  <si>
    <t>W50242</t>
  </si>
  <si>
    <t>N-1024</t>
  </si>
  <si>
    <t>N-1152</t>
  </si>
  <si>
    <t>N-1286</t>
  </si>
  <si>
    <t>S/7040</t>
  </si>
  <si>
    <t>S/7300</t>
  </si>
  <si>
    <t>W50270</t>
  </si>
  <si>
    <t>N-1153</t>
  </si>
  <si>
    <t>N-1231</t>
  </si>
  <si>
    <t>S/7291</t>
  </si>
  <si>
    <t>W50104</t>
  </si>
  <si>
    <t>W50319</t>
  </si>
  <si>
    <t>N-1062</t>
  </si>
  <si>
    <t>N-1196</t>
  </si>
  <si>
    <t>N-1300</t>
  </si>
  <si>
    <t>N-1360</t>
  </si>
  <si>
    <t>N-1404</t>
  </si>
  <si>
    <t>S/7018</t>
  </si>
  <si>
    <t>W50068</t>
  </si>
  <si>
    <t>W50261</t>
  </si>
  <si>
    <t>N-1015</t>
  </si>
  <si>
    <t>Omar Iqbal</t>
  </si>
  <si>
    <t>S/7092</t>
  </si>
  <si>
    <t>W50013</t>
  </si>
  <si>
    <t>W50101</t>
  </si>
  <si>
    <t>W50226</t>
  </si>
  <si>
    <t>W50386</t>
  </si>
  <si>
    <t>N-1087</t>
  </si>
  <si>
    <t>S/7080</t>
  </si>
  <si>
    <t>S/7244</t>
  </si>
  <si>
    <t>W50196</t>
  </si>
  <si>
    <t>W50520</t>
  </si>
  <si>
    <t>N-1146</t>
  </si>
  <si>
    <t>S/7315</t>
  </si>
  <si>
    <t>W50060</t>
  </si>
  <si>
    <t>W50244</t>
  </si>
  <si>
    <t>W50489</t>
  </si>
  <si>
    <t>N-1127</t>
  </si>
  <si>
    <t>N-1206</t>
  </si>
  <si>
    <t>S/7110</t>
  </si>
  <si>
    <t>S/7357</t>
  </si>
  <si>
    <t>W50340</t>
  </si>
  <si>
    <t>N-1065</t>
  </si>
  <si>
    <t>N-1080</t>
  </si>
  <si>
    <t>N-1171</t>
  </si>
  <si>
    <t>N-1197</t>
  </si>
  <si>
    <t>N-1270</t>
  </si>
  <si>
    <t>N-1311</t>
  </si>
  <si>
    <t>N-1324</t>
  </si>
  <si>
    <t>S/7158</t>
  </si>
  <si>
    <t>W50337</t>
  </si>
  <si>
    <t>N-1094</t>
  </si>
  <si>
    <t>N-1102</t>
  </si>
  <si>
    <t>N-1284</t>
  </si>
  <si>
    <t>N-1341</t>
  </si>
  <si>
    <t>N-1406</t>
  </si>
  <si>
    <t>S/7105</t>
  </si>
  <si>
    <t>S/7117</t>
  </si>
  <si>
    <t>S/7163</t>
  </si>
  <si>
    <t>S/7270</t>
  </si>
  <si>
    <t>W50173</t>
  </si>
  <si>
    <t>W50266</t>
  </si>
  <si>
    <t>W50379</t>
  </si>
  <si>
    <t>W50382</t>
  </si>
  <si>
    <t>N-1070</t>
  </si>
  <si>
    <t>N-1244</t>
  </si>
  <si>
    <t>S/7019</t>
  </si>
  <si>
    <t>S/7025</t>
  </si>
  <si>
    <t>S/7176</t>
  </si>
  <si>
    <t>S/7356</t>
  </si>
  <si>
    <t>W50081</t>
  </si>
  <si>
    <t>W50208</t>
  </si>
  <si>
    <t>W50455</t>
  </si>
  <si>
    <t>W50519</t>
  </si>
  <si>
    <t>S/7069</t>
  </si>
  <si>
    <t>S/7070</t>
  </si>
  <si>
    <t>W50304</t>
  </si>
  <si>
    <t>W50372</t>
  </si>
  <si>
    <t>W50404</t>
  </si>
  <si>
    <t>Usman Sheikh</t>
  </si>
  <si>
    <t>W50423</t>
  </si>
  <si>
    <t>N-1036</t>
  </si>
  <si>
    <t>S/7177</t>
  </si>
  <si>
    <t>S/7221</t>
  </si>
  <si>
    <t>W50156</t>
  </si>
  <si>
    <t>W50271</t>
  </si>
  <si>
    <t>N-1306</t>
  </si>
  <si>
    <t>N-1362</t>
  </si>
  <si>
    <t>S/7220</t>
  </si>
  <si>
    <t>W50122</t>
  </si>
  <si>
    <t>W50348</t>
  </si>
  <si>
    <t>W50472</t>
  </si>
  <si>
    <t>N-1122</t>
  </si>
  <si>
    <t>S/7006</t>
  </si>
  <si>
    <t>S/7269</t>
  </si>
  <si>
    <t>S/7342</t>
  </si>
  <si>
    <t>W50165</t>
  </si>
  <si>
    <t>W50325</t>
  </si>
  <si>
    <t>N-1105</t>
  </si>
  <si>
    <t>N-1271</t>
  </si>
  <si>
    <t>S/7020</t>
  </si>
  <si>
    <t>S/7085</t>
  </si>
  <si>
    <t>S/7321</t>
  </si>
  <si>
    <t>S/7337</t>
  </si>
  <si>
    <t>W50290</t>
  </si>
  <si>
    <t>W50318</t>
  </si>
  <si>
    <t>W50427</t>
  </si>
  <si>
    <t>W50493</t>
  </si>
  <si>
    <t>W50504</t>
  </si>
  <si>
    <t>W50512</t>
  </si>
  <si>
    <t>N-1172</t>
  </si>
  <si>
    <t>N-1355</t>
  </si>
  <si>
    <t>N-1397</t>
  </si>
  <si>
    <t>S/7003</t>
  </si>
  <si>
    <t>S/7159</t>
  </si>
  <si>
    <t>W50137</t>
  </si>
  <si>
    <t>W50153</t>
  </si>
  <si>
    <t>S/7103</t>
  </si>
  <si>
    <t>S/7161</t>
  </si>
  <si>
    <t>W50148</t>
  </si>
  <si>
    <t>W50179</t>
  </si>
  <si>
    <t>W50417</t>
  </si>
  <si>
    <t>N-1245</t>
  </si>
  <si>
    <t>N-1419</t>
  </si>
  <si>
    <t>S/7050</t>
  </si>
  <si>
    <t>S/7286</t>
  </si>
  <si>
    <t>W50061</t>
  </si>
  <si>
    <t>W50175</t>
  </si>
  <si>
    <t>W50237</t>
  </si>
  <si>
    <t>N-1255</t>
  </si>
  <si>
    <t>N-1277</t>
  </si>
  <si>
    <t>N-1407</t>
  </si>
  <si>
    <t>N-1416</t>
  </si>
  <si>
    <t>S/7119</t>
  </si>
  <si>
    <t>W50169</t>
  </si>
  <si>
    <t>W50376</t>
  </si>
  <si>
    <t>N-1089</t>
  </si>
  <si>
    <t>N-1242</t>
  </si>
  <si>
    <t>Hassan Hussain</t>
  </si>
  <si>
    <t>N-1412</t>
  </si>
  <si>
    <t>S/7231</t>
  </si>
  <si>
    <t>W50118</t>
  </si>
  <si>
    <t>W50388</t>
  </si>
  <si>
    <t>W50415</t>
  </si>
  <si>
    <t>N-1307</t>
  </si>
  <si>
    <t>N-1344</t>
  </si>
  <si>
    <t>S/7016</t>
  </si>
  <si>
    <t>S/7121</t>
  </si>
  <si>
    <t>W50274</t>
  </si>
  <si>
    <t>N-1083</t>
  </si>
  <si>
    <t>N-1116</t>
  </si>
  <si>
    <t>S/7066</t>
  </si>
  <si>
    <t>S/7192</t>
  </si>
  <si>
    <t>W50167</t>
  </si>
  <si>
    <t>W50209</t>
  </si>
  <si>
    <t>W50312</t>
  </si>
  <si>
    <t>N-1112</t>
  </si>
  <si>
    <t>N-1281</t>
  </si>
  <si>
    <t>N-1367</t>
  </si>
  <si>
    <t>S/7201</t>
  </si>
  <si>
    <t>S/7335</t>
  </si>
  <si>
    <t>W50016</t>
  </si>
  <si>
    <t>W50040</t>
  </si>
  <si>
    <t>W50163</t>
  </si>
  <si>
    <t>W50164</t>
  </si>
  <si>
    <t>W50496</t>
  </si>
  <si>
    <t>N-1375</t>
  </si>
  <si>
    <t>S/7346</t>
  </si>
  <si>
    <t>W50250</t>
  </si>
  <si>
    <t>N-1088</t>
  </si>
  <si>
    <t>N-1230</t>
  </si>
  <si>
    <t>S/7068</t>
  </si>
  <si>
    <t>S/7131</t>
  </si>
  <si>
    <t>S/7179</t>
  </si>
  <si>
    <t>W50333</t>
  </si>
  <si>
    <t>W50400</t>
  </si>
  <si>
    <t>N-1274</t>
  </si>
  <si>
    <t>S/7123</t>
  </si>
  <si>
    <t>S/7251</t>
  </si>
  <si>
    <t>S/7353</t>
  </si>
  <si>
    <t>W50029</t>
  </si>
  <si>
    <t>W50052</t>
  </si>
  <si>
    <t>W50211</t>
  </si>
  <si>
    <t>W50286</t>
  </si>
  <si>
    <t>W50315</t>
  </si>
  <si>
    <t>W50490</t>
  </si>
  <si>
    <t>S/7062</t>
  </si>
  <si>
    <t>S/7173</t>
  </si>
  <si>
    <t>S/7310</t>
  </si>
  <si>
    <t>S/7316</t>
  </si>
  <si>
    <t>W50097</t>
  </si>
  <si>
    <t>W50222</t>
  </si>
  <si>
    <t>W50262</t>
  </si>
  <si>
    <t>Data Quality Log</t>
  </si>
  <si>
    <t>What the pipeline found and fixed, with a row-count cross-check.</t>
  </si>
  <si>
    <t>Row-count cross-check</t>
  </si>
  <si>
    <t>Rows received (all source files)</t>
  </si>
  <si>
    <t>Duplicate rows removed</t>
  </si>
  <si>
    <t>Rows rejected (see Rejected Rows sheet)</t>
  </si>
  <si>
    <t>Rows in Clean Data</t>
  </si>
  <si>
    <t>Difference (must be 0)</t>
  </si>
  <si>
    <t>Cleaning steps applied</t>
  </si>
  <si>
    <t>Check</t>
  </si>
  <si>
    <t>Rows / cells affected</t>
  </si>
  <si>
    <t>Action taken</t>
  </si>
  <si>
    <t>Column headers standardised across sources</t>
  </si>
  <si>
    <t>Different names for the same field mapped to one schema</t>
  </si>
  <si>
    <t>Text trimmed (stray leading/trailing spaces)</t>
  </si>
  <si>
    <t>Spaces removed from names, products and channels</t>
  </si>
  <si>
    <t>Product names standardised</t>
  </si>
  <si>
    <t>Case, hyphen and spacing variants mapped to one product name</t>
  </si>
  <si>
    <t>Channel labels unified</t>
  </si>
  <si>
    <t>Web/web/WEB/Website -&gt; Online; Store variants -&gt; In-Store</t>
  </si>
  <si>
    <t>Dates converted to one format</t>
  </si>
  <si>
    <t>Text dates in several formats parsed into real dates</t>
  </si>
  <si>
    <t>Prices cleaned</t>
  </si>
  <si>
    <t>Currency symbols and thousands separators removed</t>
  </si>
  <si>
    <t>Discounts normalised to a decimal</t>
  </si>
  <si>
    <t>'10%', 10 and 0.10 all become 0.10</t>
  </si>
  <si>
    <t>Quantities cleaned</t>
  </si>
  <si>
    <t>Text such as '2 pcs' converted to the number 2</t>
  </si>
  <si>
    <t>Missing customer names filled</t>
  </si>
  <si>
    <t>Set to 'Unknown' (kept, not dropped)</t>
  </si>
  <si>
    <t>Same order, date, product, quantity, price and discount</t>
  </si>
  <si>
    <t>Source</t>
  </si>
  <si>
    <t>Order Date (raw)</t>
  </si>
  <si>
    <t>Product (raw)</t>
  </si>
  <si>
    <t>Quantity (raw)</t>
  </si>
  <si>
    <t>Unit Price (raw)</t>
  </si>
  <si>
    <t>Reason</t>
  </si>
  <si>
    <t>N-1178</t>
  </si>
  <si>
    <t>12/02/2026</t>
  </si>
  <si>
    <t>laptop stand</t>
  </si>
  <si>
    <t>3</t>
  </si>
  <si>
    <t>Missing or invalid unit price</t>
  </si>
  <si>
    <t>N-1114</t>
  </si>
  <si>
    <t>09/01/2026</t>
  </si>
  <si>
    <t>-1</t>
  </si>
  <si>
    <t>$86.33</t>
  </si>
  <si>
    <t>Zero or negative quantity</t>
  </si>
  <si>
    <t>N-1170</t>
  </si>
  <si>
    <t>24/05/2026</t>
  </si>
  <si>
    <t xml:space="preserve"> USB-C Cable</t>
  </si>
  <si>
    <t>0</t>
  </si>
  <si>
    <t>$12.90</t>
  </si>
  <si>
    <t>N-1364</t>
  </si>
  <si>
    <t>23/01/2026</t>
  </si>
  <si>
    <t>27-INCH MONITOR</t>
  </si>
  <si>
    <t>2</t>
  </si>
  <si>
    <t>N-1241</t>
  </si>
  <si>
    <t>16/01/2026</t>
  </si>
  <si>
    <t xml:space="preserve">Noise-Cancelling Headphones </t>
  </si>
  <si>
    <t>$152.71</t>
  </si>
  <si>
    <t>N-1317</t>
  </si>
  <si>
    <t>07/03/2026</t>
  </si>
  <si>
    <t>wireless mouse</t>
  </si>
  <si>
    <t>$25.22</t>
  </si>
  <si>
    <t>N-1337</t>
  </si>
  <si>
    <t>12/04/2026</t>
  </si>
  <si>
    <t>$251.90</t>
  </si>
  <si>
    <t>W50232</t>
  </si>
  <si>
    <t>2026-03-31</t>
  </si>
  <si>
    <t xml:space="preserve"> Smart LED Lamp</t>
  </si>
  <si>
    <t>30.78</t>
  </si>
  <si>
    <t>W50125</t>
  </si>
  <si>
    <t>2026-06-14</t>
  </si>
  <si>
    <t>1</t>
  </si>
  <si>
    <t>W50185</t>
  </si>
  <si>
    <t>Jan 15, 2026</t>
  </si>
  <si>
    <t>86.69</t>
  </si>
  <si>
    <t>W50105</t>
  </si>
  <si>
    <t>2026-06-09</t>
  </si>
  <si>
    <t>USB-C CABLE</t>
  </si>
  <si>
    <t>13.15</t>
  </si>
  <si>
    <t>W50277</t>
  </si>
  <si>
    <t>2026-01-11</t>
  </si>
  <si>
    <t xml:space="preserve"> Docking Station</t>
  </si>
  <si>
    <t>5</t>
  </si>
  <si>
    <t>W50066</t>
  </si>
  <si>
    <t>2026-02-23</t>
  </si>
  <si>
    <t>30.23</t>
  </si>
  <si>
    <t>W50246</t>
  </si>
  <si>
    <t>W50182</t>
  </si>
  <si>
    <t>2026-04-29</t>
  </si>
  <si>
    <t>79.89</t>
  </si>
  <si>
    <t>W50100</t>
  </si>
  <si>
    <t>Apr 25, 2026</t>
  </si>
  <si>
    <t>W50412</t>
  </si>
  <si>
    <t>2026-05-19</t>
  </si>
  <si>
    <t>W50401</t>
  </si>
  <si>
    <t>2026-02-28</t>
  </si>
  <si>
    <t>S/7216</t>
  </si>
  <si>
    <t>2026-05-01 00:00:00</t>
  </si>
  <si>
    <t>S/7028</t>
  </si>
  <si>
    <t>2026-04-29 00:00:00</t>
  </si>
  <si>
    <t>30.79</t>
  </si>
  <si>
    <t>S/7111</t>
  </si>
  <si>
    <t>2026-01-09 00:00:00</t>
  </si>
  <si>
    <t>external ssd 1tb</t>
  </si>
  <si>
    <t>S/7226</t>
  </si>
  <si>
    <t>2026-01-15 00:00:00</t>
  </si>
  <si>
    <t>99.94</t>
  </si>
  <si>
    <t>S/7239</t>
  </si>
  <si>
    <t>2026-01-04 00:00:00</t>
  </si>
  <si>
    <t xml:space="preserve">Webcam HD </t>
  </si>
  <si>
    <t>S/7306</t>
  </si>
  <si>
    <t>2026-03-28 00:00:00</t>
  </si>
  <si>
    <t xml:space="preserve"> Bluetooth Speaker</t>
  </si>
  <si>
    <t>76.71</t>
  </si>
  <si>
    <t>S/7283</t>
  </si>
  <si>
    <t>2026-02-02 00:00:00</t>
  </si>
  <si>
    <t>S/7008</t>
  </si>
  <si>
    <t>2026-05-14 00:00:00</t>
  </si>
  <si>
    <t>MECHANICAL KEYBOARD</t>
  </si>
  <si>
    <t>S/7347</t>
  </si>
  <si>
    <t>2026-06-20 00:00:00</t>
  </si>
  <si>
    <t>132.82</t>
  </si>
  <si>
    <t>S/7157</t>
  </si>
  <si>
    <t>2026-04-21 00:00:00</t>
  </si>
  <si>
    <t xml:space="preserve">27-inch Monitor </t>
  </si>
  <si>
    <t>214.55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</si>
</sst>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mm\ yyyy"/>
    <numFmt numFmtId="166" formatCode="\$#,##0.00;\(\$#,##0.00\);\-"/>
    <numFmt numFmtId="167" formatCode="\$#,##0;\(\$#,##0\);\-"/>
    <numFmt numFmtId="168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6"/>
      <color rgb="FF1F3864"/>
      <name val="Arial"/>
    </font>
    <font>
      <i/>
      <sz val="9"/>
      <color rgb="FF595959"/>
      <name val="Arial"/>
    </font>
    <font>
      <b/>
      <sz val="9"/>
      <color rgb="FF595959"/>
      <name val="Arial"/>
    </font>
    <font>
      <b/>
      <sz val="18"/>
      <color rgb="FF1F3864"/>
      <name val="Arial"/>
    </font>
    <font>
      <b/>
      <sz val="11"/>
      <color rgb="FF1F3864"/>
      <name val="Arial"/>
    </font>
    <font>
      <b/>
      <sz val="10"/>
      <name val="Arial"/>
    </font>
    <font>
      <b/>
      <sz val="10"/>
      <color rgb="FF2E7D3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167" fontId="6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166" fontId="6" fillId="3" borderId="0" xfId="0" applyNumberFormat="1" applyFont="1" applyFill="1" applyAlignment="1">
      <alignment horizontal="center"/>
    </xf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/>
    </xf>
    <xf numFmtId="167" fontId="2" fillId="0" borderId="1" xfId="0" applyNumberFormat="1" applyFont="1" applyBorder="1"/>
    <xf numFmtId="3" fontId="2" fillId="0" borderId="1" xfId="0" applyNumberFormat="1" applyFont="1" applyBorder="1"/>
    <xf numFmtId="166" fontId="2" fillId="0" borderId="1" xfId="0" applyNumberFormat="1" applyFont="1" applyBorder="1"/>
    <xf numFmtId="165" fontId="8" fillId="4" borderId="1" xfId="0" applyNumberFormat="1" applyFont="1" applyFill="1" applyBorder="1" applyAlignment="1">
      <alignment horizontal="left"/>
    </xf>
    <xf numFmtId="167" fontId="8" fillId="4" borderId="1" xfId="0" applyNumberFormat="1" applyFont="1" applyFill="1" applyBorder="1"/>
    <xf numFmtId="3" fontId="8" fillId="4" borderId="1" xfId="0" applyNumberFormat="1" applyFont="1" applyFill="1" applyBorder="1"/>
    <xf numFmtId="166" fontId="8" fillId="4" borderId="1" xfId="0" applyNumberFormat="1" applyFont="1" applyFill="1" applyBorder="1"/>
    <xf numFmtId="0" fontId="2" fillId="0" borderId="1" xfId="0" applyFont="1" applyBorder="1"/>
    <xf numFmtId="168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/>
    <xf numFmtId="0" fontId="8" fillId="0" borderId="1" xfId="0" applyFont="1" applyBorder="1"/>
    <xf numFmtId="3" fontId="8" fillId="0" borderId="1" xfId="0" applyNumberFormat="1" applyFont="1" applyBorder="1"/>
    <xf numFmtId="0" fontId="9" fillId="0" borderId="0" xfId="0" applyFont="1"/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>
              <a:solidFill>
                <a:srgbClr val="2F5597"/>
              </a:solidFill>
              <a:prstDash val="solid"/>
            </a:ln>
          </c:spPr>
          <c:invertIfNegative val="1"/>
          <c:cat>
            <c:numRef>
              <c:f>Summary!$A$9:$A$14</c:f>
              <c:numCache>
                <c:formatCode>mmm\ 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Summary!$B$9:$B$14</c:f>
              <c:numCache>
                <c:formatCode>\$#,##0;\(\$#,##0\);\-</c:formatCode>
                <c:ptCount val="6"/>
                <c:pt idx="0">
                  <c:v>50703.339999999982</c:v>
                </c:pt>
                <c:pt idx="1">
                  <c:v>42870.029999999992</c:v>
                </c:pt>
                <c:pt idx="2">
                  <c:v>50074.959999999977</c:v>
                </c:pt>
                <c:pt idx="3">
                  <c:v>49884.670000000049</c:v>
                </c:pt>
                <c:pt idx="4">
                  <c:v>52511.659999999996</c:v>
                </c:pt>
                <c:pt idx="5">
                  <c:v>44884.659999999989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F559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F8-4961-823B-B70C9947C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dateAx>
        <c:axId val="10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strRef>
              <c:f>Summary!$A$19:$A$30</c:f>
              <c:strCache>
                <c:ptCount val="12"/>
                <c:pt idx="0">
                  <c:v>Ergonomic Chair</c:v>
                </c:pt>
                <c:pt idx="1">
                  <c:v>27-inch Monitor</c:v>
                </c:pt>
                <c:pt idx="2">
                  <c:v>Noise-Cancelling Headphones</c:v>
                </c:pt>
                <c:pt idx="3">
                  <c:v>Docking Station</c:v>
                </c:pt>
                <c:pt idx="4">
                  <c:v>Mechanical Keyboard</c:v>
                </c:pt>
                <c:pt idx="5">
                  <c:v>Bluetooth Speaker</c:v>
                </c:pt>
                <c:pt idx="6">
                  <c:v>External SSD 1TB</c:v>
                </c:pt>
                <c:pt idx="7">
                  <c:v>Webcam HD</c:v>
                </c:pt>
                <c:pt idx="8">
                  <c:v>Laptop Stand</c:v>
                </c:pt>
                <c:pt idx="9">
                  <c:v>Smart LED Lamp</c:v>
                </c:pt>
                <c:pt idx="10">
                  <c:v>Wireless Mouse</c:v>
                </c:pt>
                <c:pt idx="11">
                  <c:v>USB-C Cable</c:v>
                </c:pt>
              </c:strCache>
            </c:strRef>
          </c:cat>
          <c:val>
            <c:numRef>
              <c:f>Summary!$C$19:$C$30</c:f>
              <c:numCache>
                <c:formatCode>\$#,##0;\(\$#,##0\);\-</c:formatCode>
                <c:ptCount val="12"/>
                <c:pt idx="0">
                  <c:v>61516.360000000015</c:v>
                </c:pt>
                <c:pt idx="1">
                  <c:v>56830.879999999997</c:v>
                </c:pt>
                <c:pt idx="2">
                  <c:v>44743.090000000011</c:v>
                </c:pt>
                <c:pt idx="3">
                  <c:v>28319.550000000017</c:v>
                </c:pt>
                <c:pt idx="4">
                  <c:v>23418.549999999996</c:v>
                </c:pt>
                <c:pt idx="5">
                  <c:v>20386.07</c:v>
                </c:pt>
                <c:pt idx="6">
                  <c:v>20341.430000000004</c:v>
                </c:pt>
                <c:pt idx="7">
                  <c:v>13027.189999999997</c:v>
                </c:pt>
                <c:pt idx="8">
                  <c:v>8665.980000000005</c:v>
                </c:pt>
                <c:pt idx="9">
                  <c:v>5866.95</c:v>
                </c:pt>
                <c:pt idx="10">
                  <c:v>4941.5700000000015</c:v>
                </c:pt>
                <c:pt idx="11">
                  <c:v>2871.7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AD-4304-8D52-6EA3FE197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54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workbookViewId="0"/>
  </sheetViews>
  <sheetFormatPr defaultRowHeight="15" x14ac:dyDescent="0.25"/>
  <cols>
    <col min="1" max="1" width="30" customWidth="1"/>
    <col min="2" max="5" width="16" customWidth="1"/>
  </cols>
  <sheetData>
    <row r="1" spans="1:5" ht="20.25" x14ac:dyDescent="0.3">
      <c r="A1" s="1" t="s">
        <v>0</v>
      </c>
    </row>
    <row r="2" spans="1:5" x14ac:dyDescent="0.25">
      <c r="A2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5" ht="30" customHeight="1" x14ac:dyDescent="0.35">
      <c r="A5" s="4">
        <f>SUM('Clean Data'!$J$2:$J$1273)</f>
        <v>290929.32000000047</v>
      </c>
      <c r="B5" s="5">
        <f>COUNTA('Clean Data'!$A$2:$A$1273)</f>
        <v>1272</v>
      </c>
      <c r="C5" s="5">
        <f>SUM('Clean Data'!$G$2:$G$1273)</f>
        <v>2990</v>
      </c>
      <c r="D5" s="6">
        <f>IF(B5=0,0,A5/B5)</f>
        <v>228.71801886792491</v>
      </c>
    </row>
    <row r="7" spans="1:5" x14ac:dyDescent="0.25">
      <c r="A7" s="7" t="s">
        <v>6</v>
      </c>
    </row>
    <row r="8" spans="1:5" x14ac:dyDescent="0.25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</row>
    <row r="9" spans="1:5" x14ac:dyDescent="0.25">
      <c r="A9" s="9">
        <v>46023</v>
      </c>
      <c r="B9" s="10">
        <f>SUMIFS('Clean Data'!$J$2:$J$1273,'Clean Data'!$C$2:$C$1273,A9)</f>
        <v>50703.339999999982</v>
      </c>
      <c r="C9" s="11">
        <f>COUNTIFS('Clean Data'!$C$2:$C$1273,A9)</f>
        <v>227</v>
      </c>
      <c r="D9" s="11">
        <f>SUMIFS('Clean Data'!$G$2:$G$1273,'Clean Data'!$C$2:$C$1273,A9)</f>
        <v>530</v>
      </c>
      <c r="E9" s="12">
        <f t="shared" ref="E9:E15" si="0">IF(C9=0,0,B9/C9)</f>
        <v>223.36273127753296</v>
      </c>
    </row>
    <row r="10" spans="1:5" x14ac:dyDescent="0.25">
      <c r="A10" s="9">
        <v>46054</v>
      </c>
      <c r="B10" s="10">
        <f>SUMIFS('Clean Data'!$J$2:$J$1273,'Clean Data'!$C$2:$C$1273,A10)</f>
        <v>42870.029999999992</v>
      </c>
      <c r="C10" s="11">
        <f>COUNTIFS('Clean Data'!$C$2:$C$1273,A10)</f>
        <v>187</v>
      </c>
      <c r="D10" s="11">
        <f>SUMIFS('Clean Data'!$G$2:$G$1273,'Clean Data'!$C$2:$C$1273,A10)</f>
        <v>442</v>
      </c>
      <c r="E10" s="12">
        <f t="shared" si="0"/>
        <v>229.25149732620315</v>
      </c>
    </row>
    <row r="11" spans="1:5" x14ac:dyDescent="0.25">
      <c r="A11" s="9">
        <v>46082</v>
      </c>
      <c r="B11" s="10">
        <f>SUMIFS('Clean Data'!$J$2:$J$1273,'Clean Data'!$C$2:$C$1273,A11)</f>
        <v>50074.959999999977</v>
      </c>
      <c r="C11" s="11">
        <f>COUNTIFS('Clean Data'!$C$2:$C$1273,A11)</f>
        <v>235</v>
      </c>
      <c r="D11" s="11">
        <f>SUMIFS('Clean Data'!$G$2:$G$1273,'Clean Data'!$C$2:$C$1273,A11)</f>
        <v>561</v>
      </c>
      <c r="E11" s="12">
        <f t="shared" si="0"/>
        <v>213.08493617021267</v>
      </c>
    </row>
    <row r="12" spans="1:5" x14ac:dyDescent="0.25">
      <c r="A12" s="9">
        <v>46113</v>
      </c>
      <c r="B12" s="10">
        <f>SUMIFS('Clean Data'!$J$2:$J$1273,'Clean Data'!$C$2:$C$1273,A12)</f>
        <v>49884.670000000049</v>
      </c>
      <c r="C12" s="11">
        <f>COUNTIFS('Clean Data'!$C$2:$C$1273,A12)</f>
        <v>192</v>
      </c>
      <c r="D12" s="11">
        <f>SUMIFS('Clean Data'!$G$2:$G$1273,'Clean Data'!$C$2:$C$1273,A12)</f>
        <v>469</v>
      </c>
      <c r="E12" s="12">
        <f t="shared" si="0"/>
        <v>259.81598958333359</v>
      </c>
    </row>
    <row r="13" spans="1:5" x14ac:dyDescent="0.25">
      <c r="A13" s="9">
        <v>46143</v>
      </c>
      <c r="B13" s="10">
        <f>SUMIFS('Clean Data'!$J$2:$J$1273,'Clean Data'!$C$2:$C$1273,A13)</f>
        <v>52511.659999999996</v>
      </c>
      <c r="C13" s="11">
        <f>COUNTIFS('Clean Data'!$C$2:$C$1273,A13)</f>
        <v>225</v>
      </c>
      <c r="D13" s="11">
        <f>SUMIFS('Clean Data'!$G$2:$G$1273,'Clean Data'!$C$2:$C$1273,A13)</f>
        <v>512</v>
      </c>
      <c r="E13" s="12">
        <f t="shared" si="0"/>
        <v>233.38515555555554</v>
      </c>
    </row>
    <row r="14" spans="1:5" x14ac:dyDescent="0.25">
      <c r="A14" s="9">
        <v>46174</v>
      </c>
      <c r="B14" s="10">
        <f>SUMIFS('Clean Data'!$J$2:$J$1273,'Clean Data'!$C$2:$C$1273,A14)</f>
        <v>44884.659999999989</v>
      </c>
      <c r="C14" s="11">
        <f>COUNTIFS('Clean Data'!$C$2:$C$1273,A14)</f>
        <v>206</v>
      </c>
      <c r="D14" s="11">
        <f>SUMIFS('Clean Data'!$G$2:$G$1273,'Clean Data'!$C$2:$C$1273,A14)</f>
        <v>476</v>
      </c>
      <c r="E14" s="12">
        <f t="shared" si="0"/>
        <v>217.88669902912616</v>
      </c>
    </row>
    <row r="15" spans="1:5" x14ac:dyDescent="0.25">
      <c r="A15" s="13" t="s">
        <v>12</v>
      </c>
      <c r="B15" s="14">
        <f>SUM(B9:B14)</f>
        <v>290929.32</v>
      </c>
      <c r="C15" s="15">
        <f>SUM(C9:C14)</f>
        <v>1272</v>
      </c>
      <c r="D15" s="15">
        <f>SUM(D9:D14)</f>
        <v>2990</v>
      </c>
      <c r="E15" s="16">
        <f t="shared" si="0"/>
        <v>228.71801886792454</v>
      </c>
    </row>
    <row r="17" spans="1:4" x14ac:dyDescent="0.25">
      <c r="A17" s="7" t="s">
        <v>13</v>
      </c>
    </row>
    <row r="18" spans="1:4" x14ac:dyDescent="0.25">
      <c r="A18" s="8" t="s">
        <v>14</v>
      </c>
      <c r="B18" s="8" t="s">
        <v>10</v>
      </c>
      <c r="C18" s="8" t="s">
        <v>8</v>
      </c>
      <c r="D18" s="8" t="s">
        <v>15</v>
      </c>
    </row>
    <row r="19" spans="1:4" x14ac:dyDescent="0.25">
      <c r="A19" s="17" t="s">
        <v>16</v>
      </c>
      <c r="B19" s="11">
        <f>SUMIFS('Clean Data'!$G$2:$G$1273,'Clean Data'!$E$2:$E$1273,A19)</f>
        <v>263</v>
      </c>
      <c r="C19" s="10">
        <f>SUMIFS('Clean Data'!$J$2:$J$1273,'Clean Data'!$E$2:$E$1273,A19)</f>
        <v>61516.360000000015</v>
      </c>
      <c r="D19" s="18">
        <f t="shared" ref="D19:D30" si="1">IF($A$5=0,0,C19/$A$5)</f>
        <v>0.2114477839497233</v>
      </c>
    </row>
    <row r="20" spans="1:4" x14ac:dyDescent="0.25">
      <c r="A20" s="17" t="s">
        <v>17</v>
      </c>
      <c r="B20" s="11">
        <f>SUMIFS('Clean Data'!$G$2:$G$1273,'Clean Data'!$E$2:$E$1273,A20)</f>
        <v>275</v>
      </c>
      <c r="C20" s="10">
        <f>SUMIFS('Clean Data'!$J$2:$J$1273,'Clean Data'!$E$2:$E$1273,A20)</f>
        <v>56830.879999999997</v>
      </c>
      <c r="D20" s="18">
        <f t="shared" si="1"/>
        <v>0.19534256636629097</v>
      </c>
    </row>
    <row r="21" spans="1:4" x14ac:dyDescent="0.25">
      <c r="A21" s="17" t="s">
        <v>18</v>
      </c>
      <c r="B21" s="11">
        <f>SUMIFS('Clean Data'!$G$2:$G$1273,'Clean Data'!$E$2:$E$1273,A21)</f>
        <v>314</v>
      </c>
      <c r="C21" s="10">
        <f>SUMIFS('Clean Data'!$J$2:$J$1273,'Clean Data'!$E$2:$E$1273,A21)</f>
        <v>44743.090000000011</v>
      </c>
      <c r="D21" s="18">
        <f t="shared" si="1"/>
        <v>0.1537936774471543</v>
      </c>
    </row>
    <row r="22" spans="1:4" x14ac:dyDescent="0.25">
      <c r="A22" s="17" t="s">
        <v>19</v>
      </c>
      <c r="B22" s="11">
        <f>SUMIFS('Clean Data'!$G$2:$G$1273,'Clean Data'!$E$2:$E$1273,A22)</f>
        <v>231</v>
      </c>
      <c r="C22" s="10">
        <f>SUMIFS('Clean Data'!$J$2:$J$1273,'Clean Data'!$E$2:$E$1273,A22)</f>
        <v>28319.550000000017</v>
      </c>
      <c r="D22" s="18">
        <f t="shared" si="1"/>
        <v>9.7341684227632924E-2</v>
      </c>
    </row>
    <row r="23" spans="1:4" x14ac:dyDescent="0.25">
      <c r="A23" s="17" t="s">
        <v>20</v>
      </c>
      <c r="B23" s="11">
        <f>SUMIFS('Clean Data'!$G$2:$G$1273,'Clean Data'!$E$2:$E$1273,A23)</f>
        <v>277</v>
      </c>
      <c r="C23" s="10">
        <f>SUMIFS('Clean Data'!$J$2:$J$1273,'Clean Data'!$E$2:$E$1273,A23)</f>
        <v>23418.549999999996</v>
      </c>
      <c r="D23" s="18">
        <f t="shared" si="1"/>
        <v>8.0495668157475359E-2</v>
      </c>
    </row>
    <row r="24" spans="1:4" x14ac:dyDescent="0.25">
      <c r="A24" s="17" t="s">
        <v>21</v>
      </c>
      <c r="B24" s="11">
        <f>SUMIFS('Clean Data'!$G$2:$G$1273,'Clean Data'!$E$2:$E$1273,A24)</f>
        <v>271</v>
      </c>
      <c r="C24" s="10">
        <f>SUMIFS('Clean Data'!$J$2:$J$1273,'Clean Data'!$E$2:$E$1273,A24)</f>
        <v>20386.07</v>
      </c>
      <c r="D24" s="18">
        <f t="shared" si="1"/>
        <v>7.0072242976403909E-2</v>
      </c>
    </row>
    <row r="25" spans="1:4" x14ac:dyDescent="0.25">
      <c r="A25" s="17" t="s">
        <v>22</v>
      </c>
      <c r="B25" s="11">
        <f>SUMIFS('Clean Data'!$G$2:$G$1273,'Clean Data'!$E$2:$E$1273,A25)</f>
        <v>212</v>
      </c>
      <c r="C25" s="10">
        <f>SUMIFS('Clean Data'!$J$2:$J$1273,'Clean Data'!$E$2:$E$1273,A25)</f>
        <v>20341.430000000004</v>
      </c>
      <c r="D25" s="18">
        <f t="shared" si="1"/>
        <v>6.9918803646191352E-2</v>
      </c>
    </row>
    <row r="26" spans="1:4" x14ac:dyDescent="0.25">
      <c r="A26" s="17" t="s">
        <v>23</v>
      </c>
      <c r="B26" s="11">
        <f>SUMIFS('Clean Data'!$G$2:$G$1273,'Clean Data'!$E$2:$E$1273,A26)</f>
        <v>231</v>
      </c>
      <c r="C26" s="10">
        <f>SUMIFS('Clean Data'!$J$2:$J$1273,'Clean Data'!$E$2:$E$1273,A26)</f>
        <v>13027.189999999997</v>
      </c>
      <c r="D26" s="18">
        <f t="shared" si="1"/>
        <v>4.4777851885124453E-2</v>
      </c>
    </row>
    <row r="27" spans="1:4" x14ac:dyDescent="0.25">
      <c r="A27" s="17" t="s">
        <v>24</v>
      </c>
      <c r="B27" s="11">
        <f>SUMIFS('Clean Data'!$G$2:$G$1273,'Clean Data'!$E$2:$E$1273,A27)</f>
        <v>264</v>
      </c>
      <c r="C27" s="10">
        <f>SUMIFS('Clean Data'!$J$2:$J$1273,'Clean Data'!$E$2:$E$1273,A27)</f>
        <v>8665.980000000005</v>
      </c>
      <c r="D27" s="18">
        <f t="shared" si="1"/>
        <v>2.9787234920151708E-2</v>
      </c>
    </row>
    <row r="28" spans="1:4" x14ac:dyDescent="0.25">
      <c r="A28" s="17" t="s">
        <v>25</v>
      </c>
      <c r="B28" s="11">
        <f>SUMIFS('Clean Data'!$G$2:$G$1273,'Clean Data'!$E$2:$E$1273,A28)</f>
        <v>205</v>
      </c>
      <c r="C28" s="10">
        <f>SUMIFS('Clean Data'!$J$2:$J$1273,'Clean Data'!$E$2:$E$1273,A28)</f>
        <v>5866.95</v>
      </c>
      <c r="D28" s="18">
        <f t="shared" si="1"/>
        <v>2.0166238315203124E-2</v>
      </c>
    </row>
    <row r="29" spans="1:4" x14ac:dyDescent="0.25">
      <c r="A29" s="17" t="s">
        <v>26</v>
      </c>
      <c r="B29" s="11">
        <f>SUMIFS('Clean Data'!$G$2:$G$1273,'Clean Data'!$E$2:$E$1273,A29)</f>
        <v>214</v>
      </c>
      <c r="C29" s="10">
        <f>SUMIFS('Clean Data'!$J$2:$J$1273,'Clean Data'!$E$2:$E$1273,A29)</f>
        <v>4941.5700000000015</v>
      </c>
      <c r="D29" s="18">
        <f t="shared" si="1"/>
        <v>1.6985465748175513E-2</v>
      </c>
    </row>
    <row r="30" spans="1:4" x14ac:dyDescent="0.25">
      <c r="A30" s="17" t="s">
        <v>27</v>
      </c>
      <c r="B30" s="11">
        <f>SUMIFS('Clean Data'!$G$2:$G$1273,'Clean Data'!$E$2:$E$1273,A30)</f>
        <v>233</v>
      </c>
      <c r="C30" s="10">
        <f>SUMIFS('Clean Data'!$J$2:$J$1273,'Clean Data'!$E$2:$E$1273,A30)</f>
        <v>2871.7</v>
      </c>
      <c r="D30" s="18">
        <f t="shared" si="1"/>
        <v>9.8707823604715916E-3</v>
      </c>
    </row>
    <row r="32" spans="1:4" x14ac:dyDescent="0.25">
      <c r="A32" s="7" t="s">
        <v>28</v>
      </c>
    </row>
    <row r="33" spans="1:4" x14ac:dyDescent="0.25">
      <c r="A33" s="8" t="s">
        <v>29</v>
      </c>
      <c r="B33" s="8" t="s">
        <v>9</v>
      </c>
      <c r="C33" s="8" t="s">
        <v>8</v>
      </c>
      <c r="D33" s="8" t="s">
        <v>15</v>
      </c>
    </row>
    <row r="34" spans="1:4" x14ac:dyDescent="0.25">
      <c r="A34" s="17" t="s">
        <v>30</v>
      </c>
      <c r="B34" s="11">
        <f>COUNTIFS('Clean Data'!$F$2:$F$1273,A34)</f>
        <v>763</v>
      </c>
      <c r="C34" s="10">
        <f>SUMIFS('Clean Data'!$J$2:$J$1273,'Clean Data'!$F$2:$F$1273,A34)</f>
        <v>173401.75999999966</v>
      </c>
      <c r="D34" s="18">
        <f>IF($A$5=0,0,C34/$A$5)</f>
        <v>0.59602710376526979</v>
      </c>
    </row>
    <row r="35" spans="1:4" x14ac:dyDescent="0.25">
      <c r="A35" s="17" t="s">
        <v>31</v>
      </c>
      <c r="B35" s="11">
        <f>COUNTIFS('Clean Data'!$F$2:$F$1273,A35)</f>
        <v>509</v>
      </c>
      <c r="C35" s="10">
        <f>SUMIFS('Clean Data'!$J$2:$J$1273,'Clean Data'!$F$2:$F$1273,A35)</f>
        <v>117527.56000000003</v>
      </c>
      <c r="D35" s="18">
        <f>IF($A$5=0,0,C35/$A$5)</f>
        <v>0.40397289623472754</v>
      </c>
    </row>
    <row r="38" spans="1:4" x14ac:dyDescent="0.25">
      <c r="A38" s="2" t="s">
        <v>32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7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3" customWidth="1"/>
    <col min="3" max="3" width="11" customWidth="1"/>
    <col min="4" max="4" width="22" customWidth="1"/>
    <col min="5" max="5" width="30" customWidth="1"/>
    <col min="6" max="6" width="12" customWidth="1"/>
    <col min="7" max="7" width="11" customWidth="1"/>
    <col min="8" max="8" width="13" customWidth="1"/>
    <col min="9" max="9" width="11" customWidth="1"/>
    <col min="10" max="10" width="14" customWidth="1"/>
    <col min="11" max="11" width="18" customWidth="1"/>
  </cols>
  <sheetData>
    <row r="1" spans="1:11" x14ac:dyDescent="0.25">
      <c r="A1" s="8" t="s">
        <v>33</v>
      </c>
      <c r="B1" s="8" t="s">
        <v>34</v>
      </c>
      <c r="C1" s="8" t="s">
        <v>7</v>
      </c>
      <c r="D1" s="8" t="s">
        <v>35</v>
      </c>
      <c r="E1" s="8" t="s">
        <v>14</v>
      </c>
      <c r="F1" s="8" t="s">
        <v>29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</row>
    <row r="2" spans="1:11" x14ac:dyDescent="0.25">
      <c r="A2" s="17" t="s">
        <v>41</v>
      </c>
      <c r="B2" s="19">
        <v>46023</v>
      </c>
      <c r="C2" s="20">
        <f t="shared" ref="C2:C65" si="0">DATE(YEAR(B2),MONTH(B2),1)</f>
        <v>46023</v>
      </c>
      <c r="D2" s="17" t="s">
        <v>42</v>
      </c>
      <c r="E2" s="17" t="s">
        <v>22</v>
      </c>
      <c r="F2" s="17" t="s">
        <v>30</v>
      </c>
      <c r="G2" s="21">
        <v>4</v>
      </c>
      <c r="H2" s="12">
        <v>96.28</v>
      </c>
      <c r="I2" s="22">
        <v>0.05</v>
      </c>
      <c r="J2" s="12">
        <f t="shared" ref="J2:J65" si="1">ROUND(G2*H2*(1-I2),2)</f>
        <v>365.86</v>
      </c>
      <c r="K2" s="17" t="s">
        <v>43</v>
      </c>
    </row>
    <row r="3" spans="1:11" x14ac:dyDescent="0.25">
      <c r="A3" s="17" t="s">
        <v>44</v>
      </c>
      <c r="B3" s="19">
        <v>46023</v>
      </c>
      <c r="C3" s="20">
        <f t="shared" si="0"/>
        <v>46023</v>
      </c>
      <c r="D3" s="17" t="s">
        <v>45</v>
      </c>
      <c r="E3" s="17" t="s">
        <v>16</v>
      </c>
      <c r="F3" s="17" t="s">
        <v>30</v>
      </c>
      <c r="G3" s="21">
        <v>1</v>
      </c>
      <c r="H3" s="12">
        <v>252.44</v>
      </c>
      <c r="I3" s="22">
        <v>0.15</v>
      </c>
      <c r="J3" s="12">
        <f t="shared" si="1"/>
        <v>214.57</v>
      </c>
      <c r="K3" s="17" t="s">
        <v>43</v>
      </c>
    </row>
    <row r="4" spans="1:11" x14ac:dyDescent="0.25">
      <c r="A4" s="17" t="s">
        <v>46</v>
      </c>
      <c r="B4" s="19">
        <v>46023</v>
      </c>
      <c r="C4" s="20">
        <f t="shared" si="0"/>
        <v>46023</v>
      </c>
      <c r="D4" s="17" t="s">
        <v>47</v>
      </c>
      <c r="E4" s="17" t="s">
        <v>20</v>
      </c>
      <c r="F4" s="17" t="s">
        <v>31</v>
      </c>
      <c r="G4" s="21">
        <v>1</v>
      </c>
      <c r="H4" s="12">
        <v>88.07</v>
      </c>
      <c r="I4" s="22">
        <v>0</v>
      </c>
      <c r="J4" s="12">
        <f t="shared" si="1"/>
        <v>88.07</v>
      </c>
      <c r="K4" s="17" t="s">
        <v>48</v>
      </c>
    </row>
    <row r="5" spans="1:11" x14ac:dyDescent="0.25">
      <c r="A5" s="17" t="s">
        <v>49</v>
      </c>
      <c r="B5" s="19">
        <v>46023</v>
      </c>
      <c r="C5" s="20">
        <f t="shared" si="0"/>
        <v>46023</v>
      </c>
      <c r="D5" s="17" t="s">
        <v>50</v>
      </c>
      <c r="E5" s="17" t="s">
        <v>23</v>
      </c>
      <c r="F5" s="17" t="s">
        <v>31</v>
      </c>
      <c r="G5" s="21">
        <v>1</v>
      </c>
      <c r="H5" s="12">
        <v>59.02</v>
      </c>
      <c r="I5" s="22">
        <v>0</v>
      </c>
      <c r="J5" s="12">
        <f t="shared" si="1"/>
        <v>59.02</v>
      </c>
      <c r="K5" s="17" t="s">
        <v>48</v>
      </c>
    </row>
    <row r="6" spans="1:11" x14ac:dyDescent="0.25">
      <c r="A6" s="17" t="s">
        <v>51</v>
      </c>
      <c r="B6" s="19">
        <v>46023</v>
      </c>
      <c r="C6" s="20">
        <f t="shared" si="0"/>
        <v>46023</v>
      </c>
      <c r="D6" s="17" t="s">
        <v>52</v>
      </c>
      <c r="E6" s="17" t="s">
        <v>26</v>
      </c>
      <c r="F6" s="17" t="s">
        <v>31</v>
      </c>
      <c r="G6" s="21">
        <v>4</v>
      </c>
      <c r="H6" s="12">
        <v>24.55</v>
      </c>
      <c r="I6" s="22">
        <v>0</v>
      </c>
      <c r="J6" s="12">
        <f t="shared" si="1"/>
        <v>98.2</v>
      </c>
      <c r="K6" s="17" t="s">
        <v>48</v>
      </c>
    </row>
    <row r="7" spans="1:11" x14ac:dyDescent="0.25">
      <c r="A7" s="17" t="s">
        <v>53</v>
      </c>
      <c r="B7" s="19">
        <v>46023</v>
      </c>
      <c r="C7" s="20">
        <f t="shared" si="0"/>
        <v>46023</v>
      </c>
      <c r="D7" s="17" t="s">
        <v>54</v>
      </c>
      <c r="E7" s="17" t="s">
        <v>22</v>
      </c>
      <c r="F7" s="17" t="s">
        <v>31</v>
      </c>
      <c r="G7" s="21">
        <v>1</v>
      </c>
      <c r="H7" s="12">
        <v>101.89</v>
      </c>
      <c r="I7" s="22">
        <v>0.15</v>
      </c>
      <c r="J7" s="12">
        <f t="shared" si="1"/>
        <v>86.61</v>
      </c>
      <c r="K7" s="17" t="s">
        <v>48</v>
      </c>
    </row>
    <row r="8" spans="1:11" x14ac:dyDescent="0.25">
      <c r="A8" s="17" t="s">
        <v>55</v>
      </c>
      <c r="B8" s="19">
        <v>46023</v>
      </c>
      <c r="C8" s="20">
        <f t="shared" si="0"/>
        <v>46023</v>
      </c>
      <c r="D8" s="17" t="s">
        <v>56</v>
      </c>
      <c r="E8" s="17" t="s">
        <v>18</v>
      </c>
      <c r="F8" s="17" t="s">
        <v>31</v>
      </c>
      <c r="G8" s="21">
        <v>2</v>
      </c>
      <c r="H8" s="12">
        <v>145.30000000000001</v>
      </c>
      <c r="I8" s="22">
        <v>0</v>
      </c>
      <c r="J8" s="12">
        <f t="shared" si="1"/>
        <v>290.60000000000002</v>
      </c>
      <c r="K8" s="17" t="s">
        <v>48</v>
      </c>
    </row>
    <row r="9" spans="1:11" x14ac:dyDescent="0.25">
      <c r="A9" s="17" t="s">
        <v>57</v>
      </c>
      <c r="B9" s="19">
        <v>46024</v>
      </c>
      <c r="C9" s="20">
        <f t="shared" si="0"/>
        <v>46023</v>
      </c>
      <c r="D9" s="17" t="s">
        <v>58</v>
      </c>
      <c r="E9" s="17" t="s">
        <v>17</v>
      </c>
      <c r="F9" s="17" t="s">
        <v>30</v>
      </c>
      <c r="G9" s="21">
        <v>1</v>
      </c>
      <c r="H9" s="12">
        <v>215.13</v>
      </c>
      <c r="I9" s="22">
        <v>0</v>
      </c>
      <c r="J9" s="12">
        <f t="shared" si="1"/>
        <v>215.13</v>
      </c>
      <c r="K9" s="17" t="s">
        <v>59</v>
      </c>
    </row>
    <row r="10" spans="1:11" x14ac:dyDescent="0.25">
      <c r="A10" s="17" t="s">
        <v>60</v>
      </c>
      <c r="B10" s="19">
        <v>46024</v>
      </c>
      <c r="C10" s="20">
        <f t="shared" si="0"/>
        <v>46023</v>
      </c>
      <c r="D10" s="17" t="s">
        <v>61</v>
      </c>
      <c r="E10" s="17" t="s">
        <v>16</v>
      </c>
      <c r="F10" s="17" t="s">
        <v>30</v>
      </c>
      <c r="G10" s="21">
        <v>2</v>
      </c>
      <c r="H10" s="12">
        <v>250.05</v>
      </c>
      <c r="I10" s="22">
        <v>0</v>
      </c>
      <c r="J10" s="12">
        <f t="shared" si="1"/>
        <v>500.1</v>
      </c>
      <c r="K10" s="17" t="s">
        <v>59</v>
      </c>
    </row>
    <row r="11" spans="1:11" x14ac:dyDescent="0.25">
      <c r="A11" s="17" t="s">
        <v>62</v>
      </c>
      <c r="B11" s="19">
        <v>46024</v>
      </c>
      <c r="C11" s="20">
        <f t="shared" si="0"/>
        <v>46023</v>
      </c>
      <c r="D11" s="17" t="s">
        <v>63</v>
      </c>
      <c r="E11" s="17" t="s">
        <v>27</v>
      </c>
      <c r="F11" s="17" t="s">
        <v>30</v>
      </c>
      <c r="G11" s="21">
        <v>1</v>
      </c>
      <c r="H11" s="12">
        <v>12.98</v>
      </c>
      <c r="I11" s="22">
        <v>0</v>
      </c>
      <c r="J11" s="12">
        <f t="shared" si="1"/>
        <v>12.98</v>
      </c>
      <c r="K11" s="17" t="s">
        <v>59</v>
      </c>
    </row>
    <row r="12" spans="1:11" x14ac:dyDescent="0.25">
      <c r="A12" s="17" t="s">
        <v>64</v>
      </c>
      <c r="B12" s="19">
        <v>46024</v>
      </c>
      <c r="C12" s="20">
        <f t="shared" si="0"/>
        <v>46023</v>
      </c>
      <c r="D12" s="17" t="s">
        <v>65</v>
      </c>
      <c r="E12" s="17" t="s">
        <v>17</v>
      </c>
      <c r="F12" s="17" t="s">
        <v>30</v>
      </c>
      <c r="G12" s="21">
        <v>2</v>
      </c>
      <c r="H12" s="12">
        <v>222.93</v>
      </c>
      <c r="I12" s="22">
        <v>0.15</v>
      </c>
      <c r="J12" s="12">
        <f t="shared" si="1"/>
        <v>378.98</v>
      </c>
      <c r="K12" s="17" t="s">
        <v>43</v>
      </c>
    </row>
    <row r="13" spans="1:11" x14ac:dyDescent="0.25">
      <c r="A13" s="17" t="s">
        <v>66</v>
      </c>
      <c r="B13" s="19">
        <v>46024</v>
      </c>
      <c r="C13" s="20">
        <f t="shared" si="0"/>
        <v>46023</v>
      </c>
      <c r="D13" s="17" t="s">
        <v>67</v>
      </c>
      <c r="E13" s="17" t="s">
        <v>26</v>
      </c>
      <c r="F13" s="17" t="s">
        <v>30</v>
      </c>
      <c r="G13" s="21">
        <v>1</v>
      </c>
      <c r="H13" s="12">
        <v>24.22</v>
      </c>
      <c r="I13" s="22">
        <v>0.15</v>
      </c>
      <c r="J13" s="12">
        <f t="shared" si="1"/>
        <v>20.59</v>
      </c>
      <c r="K13" s="17" t="s">
        <v>43</v>
      </c>
    </row>
    <row r="14" spans="1:11" x14ac:dyDescent="0.25">
      <c r="A14" s="17" t="s">
        <v>68</v>
      </c>
      <c r="B14" s="19">
        <v>46024</v>
      </c>
      <c r="C14" s="20">
        <f t="shared" si="0"/>
        <v>46023</v>
      </c>
      <c r="D14" s="17" t="s">
        <v>69</v>
      </c>
      <c r="E14" s="17" t="s">
        <v>16</v>
      </c>
      <c r="F14" s="17" t="s">
        <v>31</v>
      </c>
      <c r="G14" s="21">
        <v>1</v>
      </c>
      <c r="H14" s="12">
        <v>247.15</v>
      </c>
      <c r="I14" s="22">
        <v>0</v>
      </c>
      <c r="J14" s="12">
        <f t="shared" si="1"/>
        <v>247.15</v>
      </c>
      <c r="K14" s="17" t="s">
        <v>48</v>
      </c>
    </row>
    <row r="15" spans="1:11" x14ac:dyDescent="0.25">
      <c r="A15" s="17" t="s">
        <v>70</v>
      </c>
      <c r="B15" s="19">
        <v>46024</v>
      </c>
      <c r="C15" s="20">
        <f t="shared" si="0"/>
        <v>46023</v>
      </c>
      <c r="D15" s="17" t="s">
        <v>71</v>
      </c>
      <c r="E15" s="17" t="s">
        <v>19</v>
      </c>
      <c r="F15" s="17" t="s">
        <v>31</v>
      </c>
      <c r="G15" s="21">
        <v>2</v>
      </c>
      <c r="H15" s="12">
        <v>127.51</v>
      </c>
      <c r="I15" s="22">
        <v>0.15</v>
      </c>
      <c r="J15" s="12">
        <f t="shared" si="1"/>
        <v>216.77</v>
      </c>
      <c r="K15" s="17" t="s">
        <v>48</v>
      </c>
    </row>
    <row r="16" spans="1:11" x14ac:dyDescent="0.25">
      <c r="A16" s="17" t="s">
        <v>72</v>
      </c>
      <c r="B16" s="19">
        <v>46024</v>
      </c>
      <c r="C16" s="20">
        <f t="shared" si="0"/>
        <v>46023</v>
      </c>
      <c r="D16" s="17" t="s">
        <v>73</v>
      </c>
      <c r="E16" s="17" t="s">
        <v>17</v>
      </c>
      <c r="F16" s="17" t="s">
        <v>31</v>
      </c>
      <c r="G16" s="21">
        <v>1</v>
      </c>
      <c r="H16" s="12">
        <v>212.91</v>
      </c>
      <c r="I16" s="22">
        <v>0</v>
      </c>
      <c r="J16" s="12">
        <f t="shared" si="1"/>
        <v>212.91</v>
      </c>
      <c r="K16" s="17" t="s">
        <v>48</v>
      </c>
    </row>
    <row r="17" spans="1:11" x14ac:dyDescent="0.25">
      <c r="A17" s="17" t="s">
        <v>74</v>
      </c>
      <c r="B17" s="19">
        <v>46024</v>
      </c>
      <c r="C17" s="20">
        <f t="shared" si="0"/>
        <v>46023</v>
      </c>
      <c r="D17" s="17" t="s">
        <v>54</v>
      </c>
      <c r="E17" s="17" t="s">
        <v>21</v>
      </c>
      <c r="F17" s="17" t="s">
        <v>31</v>
      </c>
      <c r="G17" s="21">
        <v>1</v>
      </c>
      <c r="H17" s="12">
        <v>80.37</v>
      </c>
      <c r="I17" s="22">
        <v>0.05</v>
      </c>
      <c r="J17" s="12">
        <f t="shared" si="1"/>
        <v>76.349999999999994</v>
      </c>
      <c r="K17" s="17" t="s">
        <v>48</v>
      </c>
    </row>
    <row r="18" spans="1:11" x14ac:dyDescent="0.25">
      <c r="A18" s="17" t="s">
        <v>75</v>
      </c>
      <c r="B18" s="19">
        <v>46024</v>
      </c>
      <c r="C18" s="20">
        <f t="shared" si="0"/>
        <v>46023</v>
      </c>
      <c r="D18" s="17" t="s">
        <v>76</v>
      </c>
      <c r="E18" s="17" t="s">
        <v>20</v>
      </c>
      <c r="F18" s="17" t="s">
        <v>31</v>
      </c>
      <c r="G18" s="21">
        <v>1</v>
      </c>
      <c r="H18" s="12">
        <v>86.74</v>
      </c>
      <c r="I18" s="22">
        <v>0</v>
      </c>
      <c r="J18" s="12">
        <f t="shared" si="1"/>
        <v>86.74</v>
      </c>
      <c r="K18" s="17" t="s">
        <v>48</v>
      </c>
    </row>
    <row r="19" spans="1:11" x14ac:dyDescent="0.25">
      <c r="A19" s="17" t="s">
        <v>77</v>
      </c>
      <c r="B19" s="19">
        <v>46025</v>
      </c>
      <c r="C19" s="20">
        <f t="shared" si="0"/>
        <v>46023</v>
      </c>
      <c r="D19" s="17" t="s">
        <v>78</v>
      </c>
      <c r="E19" s="17" t="s">
        <v>25</v>
      </c>
      <c r="F19" s="17" t="s">
        <v>30</v>
      </c>
      <c r="G19" s="21">
        <v>2</v>
      </c>
      <c r="H19" s="12">
        <v>29.54</v>
      </c>
      <c r="I19" s="22">
        <v>0</v>
      </c>
      <c r="J19" s="12">
        <f t="shared" si="1"/>
        <v>59.08</v>
      </c>
      <c r="K19" s="17" t="s">
        <v>59</v>
      </c>
    </row>
    <row r="20" spans="1:11" x14ac:dyDescent="0.25">
      <c r="A20" s="17" t="s">
        <v>79</v>
      </c>
      <c r="B20" s="19">
        <v>46025</v>
      </c>
      <c r="C20" s="20">
        <f t="shared" si="0"/>
        <v>46023</v>
      </c>
      <c r="D20" s="17" t="s">
        <v>80</v>
      </c>
      <c r="E20" s="17" t="s">
        <v>18</v>
      </c>
      <c r="F20" s="17" t="s">
        <v>30</v>
      </c>
      <c r="G20" s="21">
        <v>2</v>
      </c>
      <c r="H20" s="12">
        <v>149.58000000000001</v>
      </c>
      <c r="I20" s="22">
        <v>0.05</v>
      </c>
      <c r="J20" s="12">
        <f t="shared" si="1"/>
        <v>284.2</v>
      </c>
      <c r="K20" s="17" t="s">
        <v>59</v>
      </c>
    </row>
    <row r="21" spans="1:11" x14ac:dyDescent="0.25">
      <c r="A21" s="17" t="s">
        <v>81</v>
      </c>
      <c r="B21" s="19">
        <v>46025</v>
      </c>
      <c r="C21" s="20">
        <f t="shared" si="0"/>
        <v>46023</v>
      </c>
      <c r="D21" s="17" t="s">
        <v>82</v>
      </c>
      <c r="E21" s="17" t="s">
        <v>21</v>
      </c>
      <c r="F21" s="17" t="s">
        <v>30</v>
      </c>
      <c r="G21" s="21">
        <v>2</v>
      </c>
      <c r="H21" s="12">
        <v>79.2</v>
      </c>
      <c r="I21" s="22">
        <v>0</v>
      </c>
      <c r="J21" s="12">
        <f t="shared" si="1"/>
        <v>158.4</v>
      </c>
      <c r="K21" s="17" t="s">
        <v>43</v>
      </c>
    </row>
    <row r="22" spans="1:11" x14ac:dyDescent="0.25">
      <c r="A22" s="17" t="s">
        <v>83</v>
      </c>
      <c r="B22" s="19">
        <v>46025</v>
      </c>
      <c r="C22" s="20">
        <f t="shared" si="0"/>
        <v>46023</v>
      </c>
      <c r="D22" s="17" t="s">
        <v>84</v>
      </c>
      <c r="E22" s="17" t="s">
        <v>21</v>
      </c>
      <c r="F22" s="17" t="s">
        <v>30</v>
      </c>
      <c r="G22" s="21">
        <v>1</v>
      </c>
      <c r="H22" s="12">
        <v>80.59</v>
      </c>
      <c r="I22" s="22">
        <v>0.05</v>
      </c>
      <c r="J22" s="12">
        <f t="shared" si="1"/>
        <v>76.56</v>
      </c>
      <c r="K22" s="17" t="s">
        <v>43</v>
      </c>
    </row>
    <row r="23" spans="1:11" x14ac:dyDescent="0.25">
      <c r="A23" s="17" t="s">
        <v>85</v>
      </c>
      <c r="B23" s="19">
        <v>46025</v>
      </c>
      <c r="C23" s="20">
        <f t="shared" si="0"/>
        <v>46023</v>
      </c>
      <c r="D23" s="17" t="s">
        <v>86</v>
      </c>
      <c r="E23" s="17" t="s">
        <v>25</v>
      </c>
      <c r="F23" s="17" t="s">
        <v>31</v>
      </c>
      <c r="G23" s="21">
        <v>2</v>
      </c>
      <c r="H23" s="12">
        <v>29.5</v>
      </c>
      <c r="I23" s="22">
        <v>0</v>
      </c>
      <c r="J23" s="12">
        <f t="shared" si="1"/>
        <v>59</v>
      </c>
      <c r="K23" s="17" t="s">
        <v>48</v>
      </c>
    </row>
    <row r="24" spans="1:11" x14ac:dyDescent="0.25">
      <c r="A24" s="17" t="s">
        <v>87</v>
      </c>
      <c r="B24" s="19">
        <v>46026</v>
      </c>
      <c r="C24" s="20">
        <f t="shared" si="0"/>
        <v>46023</v>
      </c>
      <c r="D24" s="17" t="s">
        <v>88</v>
      </c>
      <c r="E24" s="17" t="s">
        <v>22</v>
      </c>
      <c r="F24" s="17" t="s">
        <v>30</v>
      </c>
      <c r="G24" s="21">
        <v>1</v>
      </c>
      <c r="H24" s="12">
        <v>98.99</v>
      </c>
      <c r="I24" s="22">
        <v>0.1</v>
      </c>
      <c r="J24" s="12">
        <f t="shared" si="1"/>
        <v>89.09</v>
      </c>
      <c r="K24" s="17" t="s">
        <v>59</v>
      </c>
    </row>
    <row r="25" spans="1:11" x14ac:dyDescent="0.25">
      <c r="A25" s="17" t="s">
        <v>89</v>
      </c>
      <c r="B25" s="19">
        <v>46026</v>
      </c>
      <c r="C25" s="20">
        <f t="shared" si="0"/>
        <v>46023</v>
      </c>
      <c r="D25" s="17" t="s">
        <v>90</v>
      </c>
      <c r="E25" s="17" t="s">
        <v>25</v>
      </c>
      <c r="F25" s="17" t="s">
        <v>30</v>
      </c>
      <c r="G25" s="21">
        <v>2</v>
      </c>
      <c r="H25" s="12">
        <v>29.73</v>
      </c>
      <c r="I25" s="22">
        <v>0</v>
      </c>
      <c r="J25" s="12">
        <f t="shared" si="1"/>
        <v>59.46</v>
      </c>
      <c r="K25" s="17" t="s">
        <v>59</v>
      </c>
    </row>
    <row r="26" spans="1:11" x14ac:dyDescent="0.25">
      <c r="A26" s="17" t="s">
        <v>91</v>
      </c>
      <c r="B26" s="19">
        <v>46026</v>
      </c>
      <c r="C26" s="20">
        <f t="shared" si="0"/>
        <v>46023</v>
      </c>
      <c r="D26" s="17" t="s">
        <v>92</v>
      </c>
      <c r="E26" s="17" t="s">
        <v>20</v>
      </c>
      <c r="F26" s="17" t="s">
        <v>30</v>
      </c>
      <c r="G26" s="21">
        <v>2</v>
      </c>
      <c r="H26" s="12">
        <v>91.62</v>
      </c>
      <c r="I26" s="22">
        <v>0</v>
      </c>
      <c r="J26" s="12">
        <f t="shared" si="1"/>
        <v>183.24</v>
      </c>
      <c r="K26" s="17" t="s">
        <v>43</v>
      </c>
    </row>
    <row r="27" spans="1:11" x14ac:dyDescent="0.25">
      <c r="A27" s="17" t="s">
        <v>93</v>
      </c>
      <c r="B27" s="19">
        <v>46026</v>
      </c>
      <c r="C27" s="20">
        <f t="shared" si="0"/>
        <v>46023</v>
      </c>
      <c r="D27" s="17" t="s">
        <v>94</v>
      </c>
      <c r="E27" s="17" t="s">
        <v>23</v>
      </c>
      <c r="F27" s="17" t="s">
        <v>30</v>
      </c>
      <c r="G27" s="21">
        <v>1</v>
      </c>
      <c r="H27" s="12">
        <v>60.04</v>
      </c>
      <c r="I27" s="22">
        <v>0.05</v>
      </c>
      <c r="J27" s="12">
        <f t="shared" si="1"/>
        <v>57.04</v>
      </c>
      <c r="K27" s="17" t="s">
        <v>43</v>
      </c>
    </row>
    <row r="28" spans="1:11" x14ac:dyDescent="0.25">
      <c r="A28" s="17" t="s">
        <v>95</v>
      </c>
      <c r="B28" s="19">
        <v>46026</v>
      </c>
      <c r="C28" s="20">
        <f t="shared" si="0"/>
        <v>46023</v>
      </c>
      <c r="D28" s="17" t="s">
        <v>80</v>
      </c>
      <c r="E28" s="17" t="s">
        <v>22</v>
      </c>
      <c r="F28" s="17" t="s">
        <v>30</v>
      </c>
      <c r="G28" s="21">
        <v>1</v>
      </c>
      <c r="H28" s="12">
        <v>100.25</v>
      </c>
      <c r="I28" s="22">
        <v>0</v>
      </c>
      <c r="J28" s="12">
        <f t="shared" si="1"/>
        <v>100.25</v>
      </c>
      <c r="K28" s="17" t="s">
        <v>43</v>
      </c>
    </row>
    <row r="29" spans="1:11" x14ac:dyDescent="0.25">
      <c r="A29" s="17" t="s">
        <v>96</v>
      </c>
      <c r="B29" s="19">
        <v>46026</v>
      </c>
      <c r="C29" s="20">
        <f t="shared" si="0"/>
        <v>46023</v>
      </c>
      <c r="D29" s="17" t="s">
        <v>97</v>
      </c>
      <c r="E29" s="17" t="s">
        <v>27</v>
      </c>
      <c r="F29" s="17" t="s">
        <v>31</v>
      </c>
      <c r="G29" s="21">
        <v>1</v>
      </c>
      <c r="H29" s="12">
        <v>13.26</v>
      </c>
      <c r="I29" s="22">
        <v>0.05</v>
      </c>
      <c r="J29" s="12">
        <f t="shared" si="1"/>
        <v>12.6</v>
      </c>
      <c r="K29" s="17" t="s">
        <v>48</v>
      </c>
    </row>
    <row r="30" spans="1:11" x14ac:dyDescent="0.25">
      <c r="A30" s="17" t="s">
        <v>98</v>
      </c>
      <c r="B30" s="19">
        <v>46026</v>
      </c>
      <c r="C30" s="20">
        <f t="shared" si="0"/>
        <v>46023</v>
      </c>
      <c r="D30" s="17" t="s">
        <v>65</v>
      </c>
      <c r="E30" s="17" t="s">
        <v>23</v>
      </c>
      <c r="F30" s="17" t="s">
        <v>31</v>
      </c>
      <c r="G30" s="21">
        <v>4</v>
      </c>
      <c r="H30" s="12">
        <v>59.43</v>
      </c>
      <c r="I30" s="22">
        <v>0</v>
      </c>
      <c r="J30" s="12">
        <f t="shared" si="1"/>
        <v>237.72</v>
      </c>
      <c r="K30" s="17" t="s">
        <v>48</v>
      </c>
    </row>
    <row r="31" spans="1:11" x14ac:dyDescent="0.25">
      <c r="A31" s="17" t="s">
        <v>99</v>
      </c>
      <c r="B31" s="19">
        <v>46027</v>
      </c>
      <c r="C31" s="20">
        <f t="shared" si="0"/>
        <v>46023</v>
      </c>
      <c r="D31" s="17" t="s">
        <v>100</v>
      </c>
      <c r="E31" s="17" t="s">
        <v>19</v>
      </c>
      <c r="F31" s="17" t="s">
        <v>30</v>
      </c>
      <c r="G31" s="21">
        <v>1</v>
      </c>
      <c r="H31" s="12">
        <v>131.13999999999999</v>
      </c>
      <c r="I31" s="22">
        <v>0</v>
      </c>
      <c r="J31" s="12">
        <f t="shared" si="1"/>
        <v>131.13999999999999</v>
      </c>
      <c r="K31" s="17" t="s">
        <v>59</v>
      </c>
    </row>
    <row r="32" spans="1:11" x14ac:dyDescent="0.25">
      <c r="A32" s="17" t="s">
        <v>101</v>
      </c>
      <c r="B32" s="19">
        <v>46027</v>
      </c>
      <c r="C32" s="20">
        <f t="shared" si="0"/>
        <v>46023</v>
      </c>
      <c r="D32" s="17" t="s">
        <v>102</v>
      </c>
      <c r="E32" s="17" t="s">
        <v>16</v>
      </c>
      <c r="F32" s="17" t="s">
        <v>30</v>
      </c>
      <c r="G32" s="21">
        <v>2</v>
      </c>
      <c r="H32" s="12">
        <v>249.18</v>
      </c>
      <c r="I32" s="22">
        <v>0</v>
      </c>
      <c r="J32" s="12">
        <f t="shared" si="1"/>
        <v>498.36</v>
      </c>
      <c r="K32" s="17" t="s">
        <v>59</v>
      </c>
    </row>
    <row r="33" spans="1:11" x14ac:dyDescent="0.25">
      <c r="A33" s="17" t="s">
        <v>103</v>
      </c>
      <c r="B33" s="19">
        <v>46027</v>
      </c>
      <c r="C33" s="20">
        <f t="shared" si="0"/>
        <v>46023</v>
      </c>
      <c r="D33" s="17" t="s">
        <v>104</v>
      </c>
      <c r="E33" s="17" t="s">
        <v>27</v>
      </c>
      <c r="F33" s="17" t="s">
        <v>30</v>
      </c>
      <c r="G33" s="21">
        <v>2</v>
      </c>
      <c r="H33" s="12">
        <v>13</v>
      </c>
      <c r="I33" s="22">
        <v>0</v>
      </c>
      <c r="J33" s="12">
        <f t="shared" si="1"/>
        <v>26</v>
      </c>
      <c r="K33" s="17" t="s">
        <v>59</v>
      </c>
    </row>
    <row r="34" spans="1:11" x14ac:dyDescent="0.25">
      <c r="A34" s="17" t="s">
        <v>105</v>
      </c>
      <c r="B34" s="19">
        <v>46027</v>
      </c>
      <c r="C34" s="20">
        <f t="shared" si="0"/>
        <v>46023</v>
      </c>
      <c r="D34" s="17" t="s">
        <v>106</v>
      </c>
      <c r="E34" s="17" t="s">
        <v>22</v>
      </c>
      <c r="F34" s="17" t="s">
        <v>30</v>
      </c>
      <c r="G34" s="21">
        <v>1</v>
      </c>
      <c r="H34" s="12">
        <v>96.28</v>
      </c>
      <c r="I34" s="22">
        <v>0.15</v>
      </c>
      <c r="J34" s="12">
        <f t="shared" si="1"/>
        <v>81.84</v>
      </c>
      <c r="K34" s="17" t="s">
        <v>59</v>
      </c>
    </row>
    <row r="35" spans="1:11" x14ac:dyDescent="0.25">
      <c r="A35" s="17" t="s">
        <v>107</v>
      </c>
      <c r="B35" s="19">
        <v>46027</v>
      </c>
      <c r="C35" s="20">
        <f t="shared" si="0"/>
        <v>46023</v>
      </c>
      <c r="D35" s="17" t="s">
        <v>108</v>
      </c>
      <c r="E35" s="17" t="s">
        <v>21</v>
      </c>
      <c r="F35" s="17" t="s">
        <v>30</v>
      </c>
      <c r="G35" s="21">
        <v>5</v>
      </c>
      <c r="H35" s="12">
        <v>80.11</v>
      </c>
      <c r="I35" s="22">
        <v>0</v>
      </c>
      <c r="J35" s="12">
        <f t="shared" si="1"/>
        <v>400.55</v>
      </c>
      <c r="K35" s="17" t="s">
        <v>59</v>
      </c>
    </row>
    <row r="36" spans="1:11" x14ac:dyDescent="0.25">
      <c r="A36" s="17" t="s">
        <v>109</v>
      </c>
      <c r="B36" s="19">
        <v>46027</v>
      </c>
      <c r="C36" s="20">
        <f t="shared" si="0"/>
        <v>46023</v>
      </c>
      <c r="D36" s="17" t="s">
        <v>110</v>
      </c>
      <c r="E36" s="17" t="s">
        <v>26</v>
      </c>
      <c r="F36" s="17" t="s">
        <v>31</v>
      </c>
      <c r="G36" s="21">
        <v>2</v>
      </c>
      <c r="H36" s="12">
        <v>24.7</v>
      </c>
      <c r="I36" s="22">
        <v>0</v>
      </c>
      <c r="J36" s="12">
        <f t="shared" si="1"/>
        <v>49.4</v>
      </c>
      <c r="K36" s="17" t="s">
        <v>48</v>
      </c>
    </row>
    <row r="37" spans="1:11" x14ac:dyDescent="0.25">
      <c r="A37" s="17" t="s">
        <v>111</v>
      </c>
      <c r="B37" s="19">
        <v>46027</v>
      </c>
      <c r="C37" s="20">
        <f t="shared" si="0"/>
        <v>46023</v>
      </c>
      <c r="D37" s="17" t="s">
        <v>112</v>
      </c>
      <c r="E37" s="17" t="s">
        <v>23</v>
      </c>
      <c r="F37" s="17" t="s">
        <v>31</v>
      </c>
      <c r="G37" s="21">
        <v>5</v>
      </c>
      <c r="H37" s="12">
        <v>57.42</v>
      </c>
      <c r="I37" s="22">
        <v>0</v>
      </c>
      <c r="J37" s="12">
        <f t="shared" si="1"/>
        <v>287.10000000000002</v>
      </c>
      <c r="K37" s="17" t="s">
        <v>48</v>
      </c>
    </row>
    <row r="38" spans="1:11" x14ac:dyDescent="0.25">
      <c r="A38" s="17" t="s">
        <v>113</v>
      </c>
      <c r="B38" s="19">
        <v>46027</v>
      </c>
      <c r="C38" s="20">
        <f t="shared" si="0"/>
        <v>46023</v>
      </c>
      <c r="D38" s="17" t="s">
        <v>114</v>
      </c>
      <c r="E38" s="17" t="s">
        <v>20</v>
      </c>
      <c r="F38" s="17" t="s">
        <v>31</v>
      </c>
      <c r="G38" s="21">
        <v>2</v>
      </c>
      <c r="H38" s="12">
        <v>88</v>
      </c>
      <c r="I38" s="22">
        <v>0</v>
      </c>
      <c r="J38" s="12">
        <f t="shared" si="1"/>
        <v>176</v>
      </c>
      <c r="K38" s="17" t="s">
        <v>48</v>
      </c>
    </row>
    <row r="39" spans="1:11" x14ac:dyDescent="0.25">
      <c r="A39" s="17" t="s">
        <v>115</v>
      </c>
      <c r="B39" s="19">
        <v>46027</v>
      </c>
      <c r="C39" s="20">
        <f t="shared" si="0"/>
        <v>46023</v>
      </c>
      <c r="D39" s="17" t="s">
        <v>116</v>
      </c>
      <c r="E39" s="17" t="s">
        <v>20</v>
      </c>
      <c r="F39" s="17" t="s">
        <v>31</v>
      </c>
      <c r="G39" s="21">
        <v>5</v>
      </c>
      <c r="H39" s="12">
        <v>89.87</v>
      </c>
      <c r="I39" s="22">
        <v>0.15</v>
      </c>
      <c r="J39" s="12">
        <f t="shared" si="1"/>
        <v>381.95</v>
      </c>
      <c r="K39" s="17" t="s">
        <v>48</v>
      </c>
    </row>
    <row r="40" spans="1:11" x14ac:dyDescent="0.25">
      <c r="A40" s="17" t="s">
        <v>117</v>
      </c>
      <c r="B40" s="19">
        <v>46027</v>
      </c>
      <c r="C40" s="20">
        <f t="shared" si="0"/>
        <v>46023</v>
      </c>
      <c r="D40" s="17" t="s">
        <v>118</v>
      </c>
      <c r="E40" s="17" t="s">
        <v>21</v>
      </c>
      <c r="F40" s="17" t="s">
        <v>31</v>
      </c>
      <c r="G40" s="21">
        <v>3</v>
      </c>
      <c r="H40" s="12">
        <v>77.959999999999994</v>
      </c>
      <c r="I40" s="22">
        <v>0</v>
      </c>
      <c r="J40" s="12">
        <f t="shared" si="1"/>
        <v>233.88</v>
      </c>
      <c r="K40" s="17" t="s">
        <v>48</v>
      </c>
    </row>
    <row r="41" spans="1:11" x14ac:dyDescent="0.25">
      <c r="A41" s="17" t="s">
        <v>119</v>
      </c>
      <c r="B41" s="19">
        <v>46028</v>
      </c>
      <c r="C41" s="20">
        <f t="shared" si="0"/>
        <v>46023</v>
      </c>
      <c r="D41" s="17" t="s">
        <v>120</v>
      </c>
      <c r="E41" s="17" t="s">
        <v>17</v>
      </c>
      <c r="F41" s="17" t="s">
        <v>30</v>
      </c>
      <c r="G41" s="21">
        <v>4</v>
      </c>
      <c r="H41" s="12">
        <v>222.23</v>
      </c>
      <c r="I41" s="22">
        <v>0</v>
      </c>
      <c r="J41" s="12">
        <f t="shared" si="1"/>
        <v>888.92</v>
      </c>
      <c r="K41" s="17" t="s">
        <v>59</v>
      </c>
    </row>
    <row r="42" spans="1:11" x14ac:dyDescent="0.25">
      <c r="A42" s="17" t="s">
        <v>121</v>
      </c>
      <c r="B42" s="19">
        <v>46028</v>
      </c>
      <c r="C42" s="20">
        <f t="shared" si="0"/>
        <v>46023</v>
      </c>
      <c r="D42" s="17" t="s">
        <v>122</v>
      </c>
      <c r="E42" s="17" t="s">
        <v>21</v>
      </c>
      <c r="F42" s="17" t="s">
        <v>30</v>
      </c>
      <c r="G42" s="21">
        <v>1</v>
      </c>
      <c r="H42" s="12">
        <v>80.87</v>
      </c>
      <c r="I42" s="22">
        <v>0</v>
      </c>
      <c r="J42" s="12">
        <f t="shared" si="1"/>
        <v>80.87</v>
      </c>
      <c r="K42" s="17" t="s">
        <v>59</v>
      </c>
    </row>
    <row r="43" spans="1:11" x14ac:dyDescent="0.25">
      <c r="A43" s="17" t="s">
        <v>123</v>
      </c>
      <c r="B43" s="19">
        <v>46028</v>
      </c>
      <c r="C43" s="20">
        <f t="shared" si="0"/>
        <v>46023</v>
      </c>
      <c r="D43" s="17" t="s">
        <v>106</v>
      </c>
      <c r="E43" s="17" t="s">
        <v>20</v>
      </c>
      <c r="F43" s="17" t="s">
        <v>30</v>
      </c>
      <c r="G43" s="21">
        <v>2</v>
      </c>
      <c r="H43" s="12">
        <v>89.64</v>
      </c>
      <c r="I43" s="22">
        <v>0</v>
      </c>
      <c r="J43" s="12">
        <f t="shared" si="1"/>
        <v>179.28</v>
      </c>
      <c r="K43" s="17" t="s">
        <v>59</v>
      </c>
    </row>
    <row r="44" spans="1:11" x14ac:dyDescent="0.25">
      <c r="A44" s="17" t="s">
        <v>124</v>
      </c>
      <c r="B44" s="19">
        <v>46028</v>
      </c>
      <c r="C44" s="20">
        <f t="shared" si="0"/>
        <v>46023</v>
      </c>
      <c r="D44" s="17" t="s">
        <v>125</v>
      </c>
      <c r="E44" s="17" t="s">
        <v>18</v>
      </c>
      <c r="F44" s="17" t="s">
        <v>30</v>
      </c>
      <c r="G44" s="21">
        <v>4</v>
      </c>
      <c r="H44" s="12">
        <v>149.74</v>
      </c>
      <c r="I44" s="22">
        <v>0</v>
      </c>
      <c r="J44" s="12">
        <f t="shared" si="1"/>
        <v>598.96</v>
      </c>
      <c r="K44" s="17" t="s">
        <v>59</v>
      </c>
    </row>
    <row r="45" spans="1:11" x14ac:dyDescent="0.25">
      <c r="A45" s="17" t="s">
        <v>126</v>
      </c>
      <c r="B45" s="19">
        <v>46028</v>
      </c>
      <c r="C45" s="20">
        <f t="shared" si="0"/>
        <v>46023</v>
      </c>
      <c r="D45" s="17" t="s">
        <v>127</v>
      </c>
      <c r="E45" s="17" t="s">
        <v>26</v>
      </c>
      <c r="F45" s="17" t="s">
        <v>30</v>
      </c>
      <c r="G45" s="21">
        <v>1</v>
      </c>
      <c r="H45" s="12">
        <v>24.56</v>
      </c>
      <c r="I45" s="22">
        <v>0</v>
      </c>
      <c r="J45" s="12">
        <f t="shared" si="1"/>
        <v>24.56</v>
      </c>
      <c r="K45" s="17" t="s">
        <v>43</v>
      </c>
    </row>
    <row r="46" spans="1:11" x14ac:dyDescent="0.25">
      <c r="A46" s="17" t="s">
        <v>128</v>
      </c>
      <c r="B46" s="19">
        <v>46028</v>
      </c>
      <c r="C46" s="20">
        <f t="shared" si="0"/>
        <v>46023</v>
      </c>
      <c r="D46" s="17" t="s">
        <v>129</v>
      </c>
      <c r="E46" s="17" t="s">
        <v>26</v>
      </c>
      <c r="F46" s="17" t="s">
        <v>30</v>
      </c>
      <c r="G46" s="21">
        <v>2</v>
      </c>
      <c r="H46" s="12">
        <v>24.01</v>
      </c>
      <c r="I46" s="22">
        <v>0</v>
      </c>
      <c r="J46" s="12">
        <f t="shared" si="1"/>
        <v>48.02</v>
      </c>
      <c r="K46" s="17" t="s">
        <v>43</v>
      </c>
    </row>
    <row r="47" spans="1:11" x14ac:dyDescent="0.25">
      <c r="A47" s="17" t="s">
        <v>130</v>
      </c>
      <c r="B47" s="19">
        <v>46028</v>
      </c>
      <c r="C47" s="20">
        <f t="shared" si="0"/>
        <v>46023</v>
      </c>
      <c r="D47" s="17" t="s">
        <v>131</v>
      </c>
      <c r="E47" s="17" t="s">
        <v>22</v>
      </c>
      <c r="F47" s="17" t="s">
        <v>30</v>
      </c>
      <c r="G47" s="21">
        <v>1</v>
      </c>
      <c r="H47" s="12">
        <v>101.66</v>
      </c>
      <c r="I47" s="22">
        <v>0</v>
      </c>
      <c r="J47" s="12">
        <f t="shared" si="1"/>
        <v>101.66</v>
      </c>
      <c r="K47" s="17" t="s">
        <v>43</v>
      </c>
    </row>
    <row r="48" spans="1:11" x14ac:dyDescent="0.25">
      <c r="A48" s="17" t="s">
        <v>132</v>
      </c>
      <c r="B48" s="19">
        <v>46028</v>
      </c>
      <c r="C48" s="20">
        <f t="shared" si="0"/>
        <v>46023</v>
      </c>
      <c r="D48" s="17" t="s">
        <v>133</v>
      </c>
      <c r="E48" s="17" t="s">
        <v>18</v>
      </c>
      <c r="F48" s="17" t="s">
        <v>31</v>
      </c>
      <c r="G48" s="21">
        <v>3</v>
      </c>
      <c r="H48" s="12">
        <v>147.19999999999999</v>
      </c>
      <c r="I48" s="22">
        <v>0</v>
      </c>
      <c r="J48" s="12">
        <f t="shared" si="1"/>
        <v>441.6</v>
      </c>
      <c r="K48" s="17" t="s">
        <v>48</v>
      </c>
    </row>
    <row r="49" spans="1:11" x14ac:dyDescent="0.25">
      <c r="A49" s="17" t="s">
        <v>134</v>
      </c>
      <c r="B49" s="19">
        <v>46028</v>
      </c>
      <c r="C49" s="20">
        <f t="shared" si="0"/>
        <v>46023</v>
      </c>
      <c r="D49" s="17" t="s">
        <v>135</v>
      </c>
      <c r="E49" s="17" t="s">
        <v>18</v>
      </c>
      <c r="F49" s="17" t="s">
        <v>31</v>
      </c>
      <c r="G49" s="21">
        <v>2</v>
      </c>
      <c r="H49" s="12">
        <v>150.77000000000001</v>
      </c>
      <c r="I49" s="22">
        <v>0.15</v>
      </c>
      <c r="J49" s="12">
        <f t="shared" si="1"/>
        <v>256.31</v>
      </c>
      <c r="K49" s="17" t="s">
        <v>48</v>
      </c>
    </row>
    <row r="50" spans="1:11" x14ac:dyDescent="0.25">
      <c r="A50" s="17" t="s">
        <v>136</v>
      </c>
      <c r="B50" s="19">
        <v>46028</v>
      </c>
      <c r="C50" s="20">
        <f t="shared" si="0"/>
        <v>46023</v>
      </c>
      <c r="D50" s="17" t="s">
        <v>137</v>
      </c>
      <c r="E50" s="17" t="s">
        <v>20</v>
      </c>
      <c r="F50" s="17" t="s">
        <v>31</v>
      </c>
      <c r="G50" s="21">
        <v>3</v>
      </c>
      <c r="H50" s="12">
        <v>91.58</v>
      </c>
      <c r="I50" s="22">
        <v>0.1</v>
      </c>
      <c r="J50" s="12">
        <f t="shared" si="1"/>
        <v>247.27</v>
      </c>
      <c r="K50" s="17" t="s">
        <v>48</v>
      </c>
    </row>
    <row r="51" spans="1:11" x14ac:dyDescent="0.25">
      <c r="A51" s="17" t="s">
        <v>138</v>
      </c>
      <c r="B51" s="19">
        <v>46028</v>
      </c>
      <c r="C51" s="20">
        <f t="shared" si="0"/>
        <v>46023</v>
      </c>
      <c r="D51" s="17" t="s">
        <v>139</v>
      </c>
      <c r="E51" s="17" t="s">
        <v>21</v>
      </c>
      <c r="F51" s="17" t="s">
        <v>31</v>
      </c>
      <c r="G51" s="21">
        <v>3</v>
      </c>
      <c r="H51" s="12">
        <v>76.72</v>
      </c>
      <c r="I51" s="22">
        <v>0</v>
      </c>
      <c r="J51" s="12">
        <f t="shared" si="1"/>
        <v>230.16</v>
      </c>
      <c r="K51" s="17" t="s">
        <v>48</v>
      </c>
    </row>
    <row r="52" spans="1:11" x14ac:dyDescent="0.25">
      <c r="A52" s="17" t="s">
        <v>140</v>
      </c>
      <c r="B52" s="19">
        <v>46028</v>
      </c>
      <c r="C52" s="20">
        <f t="shared" si="0"/>
        <v>46023</v>
      </c>
      <c r="D52" s="17" t="s">
        <v>141</v>
      </c>
      <c r="E52" s="17" t="s">
        <v>20</v>
      </c>
      <c r="F52" s="17" t="s">
        <v>31</v>
      </c>
      <c r="G52" s="21">
        <v>1</v>
      </c>
      <c r="H52" s="12">
        <v>86.36</v>
      </c>
      <c r="I52" s="22">
        <v>0</v>
      </c>
      <c r="J52" s="12">
        <f t="shared" si="1"/>
        <v>86.36</v>
      </c>
      <c r="K52" s="17" t="s">
        <v>48</v>
      </c>
    </row>
    <row r="53" spans="1:11" x14ac:dyDescent="0.25">
      <c r="A53" s="17" t="s">
        <v>142</v>
      </c>
      <c r="B53" s="19">
        <v>46028</v>
      </c>
      <c r="C53" s="20">
        <f t="shared" si="0"/>
        <v>46023</v>
      </c>
      <c r="D53" s="17" t="s">
        <v>78</v>
      </c>
      <c r="E53" s="17" t="s">
        <v>25</v>
      </c>
      <c r="F53" s="17" t="s">
        <v>31</v>
      </c>
      <c r="G53" s="21">
        <v>1</v>
      </c>
      <c r="H53" s="12">
        <v>29.55</v>
      </c>
      <c r="I53" s="22">
        <v>0.1</v>
      </c>
      <c r="J53" s="12">
        <f t="shared" si="1"/>
        <v>26.6</v>
      </c>
      <c r="K53" s="17" t="s">
        <v>48</v>
      </c>
    </row>
    <row r="54" spans="1:11" x14ac:dyDescent="0.25">
      <c r="A54" s="17" t="s">
        <v>143</v>
      </c>
      <c r="B54" s="19">
        <v>46029</v>
      </c>
      <c r="C54" s="20">
        <f t="shared" si="0"/>
        <v>46023</v>
      </c>
      <c r="D54" s="17" t="s">
        <v>144</v>
      </c>
      <c r="E54" s="17" t="s">
        <v>25</v>
      </c>
      <c r="F54" s="17" t="s">
        <v>30</v>
      </c>
      <c r="G54" s="21">
        <v>2</v>
      </c>
      <c r="H54" s="12">
        <v>29.65</v>
      </c>
      <c r="I54" s="22">
        <v>0</v>
      </c>
      <c r="J54" s="12">
        <f t="shared" si="1"/>
        <v>59.3</v>
      </c>
      <c r="K54" s="17" t="s">
        <v>43</v>
      </c>
    </row>
    <row r="55" spans="1:11" x14ac:dyDescent="0.25">
      <c r="A55" s="17" t="s">
        <v>145</v>
      </c>
      <c r="B55" s="19">
        <v>46029</v>
      </c>
      <c r="C55" s="20">
        <f t="shared" si="0"/>
        <v>46023</v>
      </c>
      <c r="D55" s="17" t="s">
        <v>146</v>
      </c>
      <c r="E55" s="17" t="s">
        <v>21</v>
      </c>
      <c r="F55" s="17" t="s">
        <v>30</v>
      </c>
      <c r="G55" s="21">
        <v>5</v>
      </c>
      <c r="H55" s="12">
        <v>80.88</v>
      </c>
      <c r="I55" s="22">
        <v>0</v>
      </c>
      <c r="J55" s="12">
        <f t="shared" si="1"/>
        <v>404.4</v>
      </c>
      <c r="K55" s="17" t="s">
        <v>43</v>
      </c>
    </row>
    <row r="56" spans="1:11" x14ac:dyDescent="0.25">
      <c r="A56" s="17" t="s">
        <v>147</v>
      </c>
      <c r="B56" s="19">
        <v>46029</v>
      </c>
      <c r="C56" s="20">
        <f t="shared" si="0"/>
        <v>46023</v>
      </c>
      <c r="D56" s="17" t="s">
        <v>148</v>
      </c>
      <c r="E56" s="17" t="s">
        <v>18</v>
      </c>
      <c r="F56" s="17" t="s">
        <v>31</v>
      </c>
      <c r="G56" s="21">
        <v>5</v>
      </c>
      <c r="H56" s="12">
        <v>147.88</v>
      </c>
      <c r="I56" s="22">
        <v>0</v>
      </c>
      <c r="J56" s="12">
        <f t="shared" si="1"/>
        <v>739.4</v>
      </c>
      <c r="K56" s="17" t="s">
        <v>48</v>
      </c>
    </row>
    <row r="57" spans="1:11" x14ac:dyDescent="0.25">
      <c r="A57" s="17" t="s">
        <v>149</v>
      </c>
      <c r="B57" s="19">
        <v>46029</v>
      </c>
      <c r="C57" s="20">
        <f t="shared" si="0"/>
        <v>46023</v>
      </c>
      <c r="D57" s="17" t="s">
        <v>150</v>
      </c>
      <c r="E57" s="17" t="s">
        <v>27</v>
      </c>
      <c r="F57" s="17" t="s">
        <v>31</v>
      </c>
      <c r="G57" s="21">
        <v>1</v>
      </c>
      <c r="H57" s="12">
        <v>13.2</v>
      </c>
      <c r="I57" s="22">
        <v>0</v>
      </c>
      <c r="J57" s="12">
        <f t="shared" si="1"/>
        <v>13.2</v>
      </c>
      <c r="K57" s="17" t="s">
        <v>48</v>
      </c>
    </row>
    <row r="58" spans="1:11" x14ac:dyDescent="0.25">
      <c r="A58" s="17" t="s">
        <v>151</v>
      </c>
      <c r="B58" s="19">
        <v>46029</v>
      </c>
      <c r="C58" s="20">
        <f t="shared" si="0"/>
        <v>46023</v>
      </c>
      <c r="D58" s="17" t="s">
        <v>78</v>
      </c>
      <c r="E58" s="17" t="s">
        <v>27</v>
      </c>
      <c r="F58" s="17" t="s">
        <v>31</v>
      </c>
      <c r="G58" s="21">
        <v>5</v>
      </c>
      <c r="H58" s="12">
        <v>12.81</v>
      </c>
      <c r="I58" s="22">
        <v>0</v>
      </c>
      <c r="J58" s="12">
        <f t="shared" si="1"/>
        <v>64.05</v>
      </c>
      <c r="K58" s="17" t="s">
        <v>48</v>
      </c>
    </row>
    <row r="59" spans="1:11" x14ac:dyDescent="0.25">
      <c r="A59" s="17" t="s">
        <v>152</v>
      </c>
      <c r="B59" s="19">
        <v>46030</v>
      </c>
      <c r="C59" s="20">
        <f t="shared" si="0"/>
        <v>46023</v>
      </c>
      <c r="D59" s="17" t="s">
        <v>153</v>
      </c>
      <c r="E59" s="17" t="s">
        <v>17</v>
      </c>
      <c r="F59" s="17" t="s">
        <v>30</v>
      </c>
      <c r="G59" s="21">
        <v>2</v>
      </c>
      <c r="H59" s="12">
        <v>219.02</v>
      </c>
      <c r="I59" s="22">
        <v>0.1</v>
      </c>
      <c r="J59" s="12">
        <f t="shared" si="1"/>
        <v>394.24</v>
      </c>
      <c r="K59" s="17" t="s">
        <v>59</v>
      </c>
    </row>
    <row r="60" spans="1:11" x14ac:dyDescent="0.25">
      <c r="A60" s="17" t="s">
        <v>154</v>
      </c>
      <c r="B60" s="19">
        <v>46030</v>
      </c>
      <c r="C60" s="20">
        <f t="shared" si="0"/>
        <v>46023</v>
      </c>
      <c r="D60" s="17" t="s">
        <v>80</v>
      </c>
      <c r="E60" s="17" t="s">
        <v>25</v>
      </c>
      <c r="F60" s="17" t="s">
        <v>30</v>
      </c>
      <c r="G60" s="21">
        <v>3</v>
      </c>
      <c r="H60" s="12">
        <v>30.55</v>
      </c>
      <c r="I60" s="22">
        <v>0</v>
      </c>
      <c r="J60" s="12">
        <f t="shared" si="1"/>
        <v>91.65</v>
      </c>
      <c r="K60" s="17" t="s">
        <v>59</v>
      </c>
    </row>
    <row r="61" spans="1:11" x14ac:dyDescent="0.25">
      <c r="A61" s="17" t="s">
        <v>155</v>
      </c>
      <c r="B61" s="19">
        <v>46030</v>
      </c>
      <c r="C61" s="20">
        <f t="shared" si="0"/>
        <v>46023</v>
      </c>
      <c r="D61" s="17" t="s">
        <v>78</v>
      </c>
      <c r="E61" s="17" t="s">
        <v>24</v>
      </c>
      <c r="F61" s="17" t="s">
        <v>30</v>
      </c>
      <c r="G61" s="21">
        <v>2</v>
      </c>
      <c r="H61" s="12">
        <v>34.340000000000003</v>
      </c>
      <c r="I61" s="22">
        <v>0.1</v>
      </c>
      <c r="J61" s="12">
        <f t="shared" si="1"/>
        <v>61.81</v>
      </c>
      <c r="K61" s="17" t="s">
        <v>59</v>
      </c>
    </row>
    <row r="62" spans="1:11" x14ac:dyDescent="0.25">
      <c r="A62" s="17" t="s">
        <v>156</v>
      </c>
      <c r="B62" s="19">
        <v>46030</v>
      </c>
      <c r="C62" s="20">
        <f t="shared" si="0"/>
        <v>46023</v>
      </c>
      <c r="D62" s="17" t="s">
        <v>157</v>
      </c>
      <c r="E62" s="17" t="s">
        <v>18</v>
      </c>
      <c r="F62" s="17" t="s">
        <v>31</v>
      </c>
      <c r="G62" s="21">
        <v>1</v>
      </c>
      <c r="H62" s="12">
        <v>150.36000000000001</v>
      </c>
      <c r="I62" s="22">
        <v>0.1</v>
      </c>
      <c r="J62" s="12">
        <f t="shared" si="1"/>
        <v>135.32</v>
      </c>
      <c r="K62" s="17" t="s">
        <v>48</v>
      </c>
    </row>
    <row r="63" spans="1:11" x14ac:dyDescent="0.25">
      <c r="A63" s="17" t="s">
        <v>158</v>
      </c>
      <c r="B63" s="19">
        <v>46031</v>
      </c>
      <c r="C63" s="20">
        <f t="shared" si="0"/>
        <v>46023</v>
      </c>
      <c r="D63" s="17" t="s">
        <v>159</v>
      </c>
      <c r="E63" s="17" t="s">
        <v>25</v>
      </c>
      <c r="F63" s="17" t="s">
        <v>30</v>
      </c>
      <c r="G63" s="21">
        <v>1</v>
      </c>
      <c r="H63" s="12">
        <v>29.44</v>
      </c>
      <c r="I63" s="22">
        <v>0</v>
      </c>
      <c r="J63" s="12">
        <f t="shared" si="1"/>
        <v>29.44</v>
      </c>
      <c r="K63" s="17" t="s">
        <v>43</v>
      </c>
    </row>
    <row r="64" spans="1:11" x14ac:dyDescent="0.25">
      <c r="A64" s="17" t="s">
        <v>160</v>
      </c>
      <c r="B64" s="19">
        <v>46031</v>
      </c>
      <c r="C64" s="20">
        <f t="shared" si="0"/>
        <v>46023</v>
      </c>
      <c r="D64" s="17" t="s">
        <v>106</v>
      </c>
      <c r="E64" s="17" t="s">
        <v>21</v>
      </c>
      <c r="F64" s="17" t="s">
        <v>31</v>
      </c>
      <c r="G64" s="21">
        <v>5</v>
      </c>
      <c r="H64" s="12">
        <v>80.680000000000007</v>
      </c>
      <c r="I64" s="22">
        <v>0</v>
      </c>
      <c r="J64" s="12">
        <f t="shared" si="1"/>
        <v>403.4</v>
      </c>
      <c r="K64" s="17" t="s">
        <v>48</v>
      </c>
    </row>
    <row r="65" spans="1:11" x14ac:dyDescent="0.25">
      <c r="A65" s="17" t="s">
        <v>161</v>
      </c>
      <c r="B65" s="19">
        <v>46032</v>
      </c>
      <c r="C65" s="20">
        <f t="shared" si="0"/>
        <v>46023</v>
      </c>
      <c r="D65" s="17" t="s">
        <v>162</v>
      </c>
      <c r="E65" s="17" t="s">
        <v>19</v>
      </c>
      <c r="F65" s="17" t="s">
        <v>30</v>
      </c>
      <c r="G65" s="21">
        <v>1</v>
      </c>
      <c r="H65" s="12">
        <v>132.47999999999999</v>
      </c>
      <c r="I65" s="22">
        <v>0</v>
      </c>
      <c r="J65" s="12">
        <f t="shared" si="1"/>
        <v>132.47999999999999</v>
      </c>
      <c r="K65" s="17" t="s">
        <v>43</v>
      </c>
    </row>
    <row r="66" spans="1:11" x14ac:dyDescent="0.25">
      <c r="A66" s="17" t="s">
        <v>163</v>
      </c>
      <c r="B66" s="19">
        <v>46032</v>
      </c>
      <c r="C66" s="20">
        <f t="shared" ref="C66:C129" si="2">DATE(YEAR(B66),MONTH(B66),1)</f>
        <v>46023</v>
      </c>
      <c r="D66" s="17" t="s">
        <v>164</v>
      </c>
      <c r="E66" s="17" t="s">
        <v>17</v>
      </c>
      <c r="F66" s="17" t="s">
        <v>31</v>
      </c>
      <c r="G66" s="21">
        <v>1</v>
      </c>
      <c r="H66" s="12">
        <v>215.84</v>
      </c>
      <c r="I66" s="22">
        <v>0</v>
      </c>
      <c r="J66" s="12">
        <f t="shared" ref="J66:J129" si="3">ROUND(G66*H66*(1-I66),2)</f>
        <v>215.84</v>
      </c>
      <c r="K66" s="17" t="s">
        <v>48</v>
      </c>
    </row>
    <row r="67" spans="1:11" x14ac:dyDescent="0.25">
      <c r="A67" s="17" t="s">
        <v>165</v>
      </c>
      <c r="B67" s="19">
        <v>46032</v>
      </c>
      <c r="C67" s="20">
        <f t="shared" si="2"/>
        <v>46023</v>
      </c>
      <c r="D67" s="17" t="s">
        <v>166</v>
      </c>
      <c r="E67" s="17" t="s">
        <v>21</v>
      </c>
      <c r="F67" s="17" t="s">
        <v>31</v>
      </c>
      <c r="G67" s="21">
        <v>4</v>
      </c>
      <c r="H67" s="12">
        <v>77.66</v>
      </c>
      <c r="I67" s="22">
        <v>0</v>
      </c>
      <c r="J67" s="12">
        <f t="shared" si="3"/>
        <v>310.64</v>
      </c>
      <c r="K67" s="17" t="s">
        <v>48</v>
      </c>
    </row>
    <row r="68" spans="1:11" x14ac:dyDescent="0.25">
      <c r="A68" s="17" t="s">
        <v>167</v>
      </c>
      <c r="B68" s="19">
        <v>46032</v>
      </c>
      <c r="C68" s="20">
        <f t="shared" si="2"/>
        <v>46023</v>
      </c>
      <c r="D68" s="17" t="s">
        <v>168</v>
      </c>
      <c r="E68" s="17" t="s">
        <v>23</v>
      </c>
      <c r="F68" s="17" t="s">
        <v>31</v>
      </c>
      <c r="G68" s="21">
        <v>1</v>
      </c>
      <c r="H68" s="12">
        <v>60.32</v>
      </c>
      <c r="I68" s="22">
        <v>0.15</v>
      </c>
      <c r="J68" s="12">
        <f t="shared" si="3"/>
        <v>51.27</v>
      </c>
      <c r="K68" s="17" t="s">
        <v>48</v>
      </c>
    </row>
    <row r="69" spans="1:11" x14ac:dyDescent="0.25">
      <c r="A69" s="17" t="s">
        <v>169</v>
      </c>
      <c r="B69" s="19">
        <v>46032</v>
      </c>
      <c r="C69" s="20">
        <f t="shared" si="2"/>
        <v>46023</v>
      </c>
      <c r="D69" s="17" t="s">
        <v>170</v>
      </c>
      <c r="E69" s="17" t="s">
        <v>19</v>
      </c>
      <c r="F69" s="17" t="s">
        <v>31</v>
      </c>
      <c r="G69" s="21">
        <v>2</v>
      </c>
      <c r="H69" s="12">
        <v>126.51</v>
      </c>
      <c r="I69" s="22">
        <v>0</v>
      </c>
      <c r="J69" s="12">
        <f t="shared" si="3"/>
        <v>253.02</v>
      </c>
      <c r="K69" s="17" t="s">
        <v>48</v>
      </c>
    </row>
    <row r="70" spans="1:11" x14ac:dyDescent="0.25">
      <c r="A70" s="17" t="s">
        <v>171</v>
      </c>
      <c r="B70" s="19">
        <v>46032</v>
      </c>
      <c r="C70" s="20">
        <f t="shared" si="2"/>
        <v>46023</v>
      </c>
      <c r="D70" s="17" t="s">
        <v>172</v>
      </c>
      <c r="E70" s="17" t="s">
        <v>27</v>
      </c>
      <c r="F70" s="17" t="s">
        <v>31</v>
      </c>
      <c r="G70" s="21">
        <v>1</v>
      </c>
      <c r="H70" s="12">
        <v>13.07</v>
      </c>
      <c r="I70" s="22">
        <v>0</v>
      </c>
      <c r="J70" s="12">
        <f t="shared" si="3"/>
        <v>13.07</v>
      </c>
      <c r="K70" s="17" t="s">
        <v>48</v>
      </c>
    </row>
    <row r="71" spans="1:11" x14ac:dyDescent="0.25">
      <c r="A71" s="17" t="s">
        <v>173</v>
      </c>
      <c r="B71" s="19">
        <v>46033</v>
      </c>
      <c r="C71" s="20">
        <f t="shared" si="2"/>
        <v>46023</v>
      </c>
      <c r="D71" s="17" t="s">
        <v>125</v>
      </c>
      <c r="E71" s="17" t="s">
        <v>24</v>
      </c>
      <c r="F71" s="17" t="s">
        <v>30</v>
      </c>
      <c r="G71" s="21">
        <v>1</v>
      </c>
      <c r="H71" s="12">
        <v>34.020000000000003</v>
      </c>
      <c r="I71" s="22">
        <v>0</v>
      </c>
      <c r="J71" s="12">
        <f t="shared" si="3"/>
        <v>34.020000000000003</v>
      </c>
      <c r="K71" s="17" t="s">
        <v>59</v>
      </c>
    </row>
    <row r="72" spans="1:11" x14ac:dyDescent="0.25">
      <c r="A72" s="17" t="s">
        <v>174</v>
      </c>
      <c r="B72" s="19">
        <v>46033</v>
      </c>
      <c r="C72" s="20">
        <f t="shared" si="2"/>
        <v>46023</v>
      </c>
      <c r="D72" s="17" t="s">
        <v>120</v>
      </c>
      <c r="E72" s="17" t="s">
        <v>18</v>
      </c>
      <c r="F72" s="17" t="s">
        <v>30</v>
      </c>
      <c r="G72" s="21">
        <v>2</v>
      </c>
      <c r="H72" s="12">
        <v>152.09</v>
      </c>
      <c r="I72" s="22">
        <v>0</v>
      </c>
      <c r="J72" s="12">
        <f t="shared" si="3"/>
        <v>304.18</v>
      </c>
      <c r="K72" s="17" t="s">
        <v>43</v>
      </c>
    </row>
    <row r="73" spans="1:11" x14ac:dyDescent="0.25">
      <c r="A73" s="17" t="s">
        <v>175</v>
      </c>
      <c r="B73" s="19">
        <v>46033</v>
      </c>
      <c r="C73" s="20">
        <f t="shared" si="2"/>
        <v>46023</v>
      </c>
      <c r="D73" s="17" t="s">
        <v>133</v>
      </c>
      <c r="E73" s="17" t="s">
        <v>16</v>
      </c>
      <c r="F73" s="17" t="s">
        <v>30</v>
      </c>
      <c r="G73" s="21">
        <v>3</v>
      </c>
      <c r="H73" s="12">
        <v>249.83</v>
      </c>
      <c r="I73" s="22">
        <v>0.1</v>
      </c>
      <c r="J73" s="12">
        <f t="shared" si="3"/>
        <v>674.54</v>
      </c>
      <c r="K73" s="17" t="s">
        <v>43</v>
      </c>
    </row>
    <row r="74" spans="1:11" x14ac:dyDescent="0.25">
      <c r="A74" s="17" t="s">
        <v>176</v>
      </c>
      <c r="B74" s="19">
        <v>46033</v>
      </c>
      <c r="C74" s="20">
        <f t="shared" si="2"/>
        <v>46023</v>
      </c>
      <c r="D74" s="17" t="s">
        <v>177</v>
      </c>
      <c r="E74" s="17" t="s">
        <v>18</v>
      </c>
      <c r="F74" s="17" t="s">
        <v>30</v>
      </c>
      <c r="G74" s="21">
        <v>2</v>
      </c>
      <c r="H74" s="12">
        <v>150.4</v>
      </c>
      <c r="I74" s="22">
        <v>0.15</v>
      </c>
      <c r="J74" s="12">
        <f t="shared" si="3"/>
        <v>255.68</v>
      </c>
      <c r="K74" s="17" t="s">
        <v>43</v>
      </c>
    </row>
    <row r="75" spans="1:11" x14ac:dyDescent="0.25">
      <c r="A75" s="17" t="s">
        <v>178</v>
      </c>
      <c r="B75" s="19">
        <v>46033</v>
      </c>
      <c r="C75" s="20">
        <f t="shared" si="2"/>
        <v>46023</v>
      </c>
      <c r="D75" s="17" t="s">
        <v>179</v>
      </c>
      <c r="E75" s="17" t="s">
        <v>20</v>
      </c>
      <c r="F75" s="17" t="s">
        <v>31</v>
      </c>
      <c r="G75" s="21">
        <v>2</v>
      </c>
      <c r="H75" s="12">
        <v>91.65</v>
      </c>
      <c r="I75" s="22">
        <v>0</v>
      </c>
      <c r="J75" s="12">
        <f t="shared" si="3"/>
        <v>183.3</v>
      </c>
      <c r="K75" s="17" t="s">
        <v>48</v>
      </c>
    </row>
    <row r="76" spans="1:11" x14ac:dyDescent="0.25">
      <c r="A76" s="17" t="s">
        <v>180</v>
      </c>
      <c r="B76" s="19">
        <v>46033</v>
      </c>
      <c r="C76" s="20">
        <f t="shared" si="2"/>
        <v>46023</v>
      </c>
      <c r="D76" s="17" t="s">
        <v>181</v>
      </c>
      <c r="E76" s="17" t="s">
        <v>18</v>
      </c>
      <c r="F76" s="17" t="s">
        <v>31</v>
      </c>
      <c r="G76" s="21">
        <v>3</v>
      </c>
      <c r="H76" s="12">
        <v>146.19</v>
      </c>
      <c r="I76" s="22">
        <v>0.1</v>
      </c>
      <c r="J76" s="12">
        <f t="shared" si="3"/>
        <v>394.71</v>
      </c>
      <c r="K76" s="17" t="s">
        <v>48</v>
      </c>
    </row>
    <row r="77" spans="1:11" x14ac:dyDescent="0.25">
      <c r="A77" s="17" t="s">
        <v>182</v>
      </c>
      <c r="B77" s="19">
        <v>46034</v>
      </c>
      <c r="C77" s="20">
        <f t="shared" si="2"/>
        <v>46023</v>
      </c>
      <c r="D77" s="17" t="s">
        <v>183</v>
      </c>
      <c r="E77" s="17" t="s">
        <v>27</v>
      </c>
      <c r="F77" s="17" t="s">
        <v>30</v>
      </c>
      <c r="G77" s="21">
        <v>1</v>
      </c>
      <c r="H77" s="12">
        <v>13.22</v>
      </c>
      <c r="I77" s="22">
        <v>0.1</v>
      </c>
      <c r="J77" s="12">
        <f t="shared" si="3"/>
        <v>11.9</v>
      </c>
      <c r="K77" s="17" t="s">
        <v>59</v>
      </c>
    </row>
    <row r="78" spans="1:11" x14ac:dyDescent="0.25">
      <c r="A78" s="17" t="s">
        <v>184</v>
      </c>
      <c r="B78" s="19">
        <v>46034</v>
      </c>
      <c r="C78" s="20">
        <f t="shared" si="2"/>
        <v>46023</v>
      </c>
      <c r="D78" s="17" t="s">
        <v>185</v>
      </c>
      <c r="E78" s="17" t="s">
        <v>16</v>
      </c>
      <c r="F78" s="17" t="s">
        <v>30</v>
      </c>
      <c r="G78" s="21">
        <v>1</v>
      </c>
      <c r="H78" s="12">
        <v>245.66</v>
      </c>
      <c r="I78" s="22">
        <v>0.15</v>
      </c>
      <c r="J78" s="12">
        <f t="shared" si="3"/>
        <v>208.81</v>
      </c>
      <c r="K78" s="17" t="s">
        <v>43</v>
      </c>
    </row>
    <row r="79" spans="1:11" x14ac:dyDescent="0.25">
      <c r="A79" s="17" t="s">
        <v>186</v>
      </c>
      <c r="B79" s="19">
        <v>46034</v>
      </c>
      <c r="C79" s="20">
        <f t="shared" si="2"/>
        <v>46023</v>
      </c>
      <c r="D79" s="17" t="s">
        <v>187</v>
      </c>
      <c r="E79" s="17" t="s">
        <v>18</v>
      </c>
      <c r="F79" s="17" t="s">
        <v>31</v>
      </c>
      <c r="G79" s="21">
        <v>2</v>
      </c>
      <c r="H79" s="12">
        <v>148.46</v>
      </c>
      <c r="I79" s="22">
        <v>0</v>
      </c>
      <c r="J79" s="12">
        <f t="shared" si="3"/>
        <v>296.92</v>
      </c>
      <c r="K79" s="17" t="s">
        <v>48</v>
      </c>
    </row>
    <row r="80" spans="1:11" x14ac:dyDescent="0.25">
      <c r="A80" s="17" t="s">
        <v>188</v>
      </c>
      <c r="B80" s="19">
        <v>46034</v>
      </c>
      <c r="C80" s="20">
        <f t="shared" si="2"/>
        <v>46023</v>
      </c>
      <c r="D80" s="17" t="s">
        <v>76</v>
      </c>
      <c r="E80" s="17" t="s">
        <v>19</v>
      </c>
      <c r="F80" s="17" t="s">
        <v>31</v>
      </c>
      <c r="G80" s="21">
        <v>5</v>
      </c>
      <c r="H80" s="12">
        <v>128.52000000000001</v>
      </c>
      <c r="I80" s="22">
        <v>0.1</v>
      </c>
      <c r="J80" s="12">
        <f t="shared" si="3"/>
        <v>578.34</v>
      </c>
      <c r="K80" s="17" t="s">
        <v>48</v>
      </c>
    </row>
    <row r="81" spans="1:11" x14ac:dyDescent="0.25">
      <c r="A81" s="17" t="s">
        <v>189</v>
      </c>
      <c r="B81" s="19">
        <v>46034</v>
      </c>
      <c r="C81" s="20">
        <f t="shared" si="2"/>
        <v>46023</v>
      </c>
      <c r="D81" s="17" t="s">
        <v>190</v>
      </c>
      <c r="E81" s="17" t="s">
        <v>17</v>
      </c>
      <c r="F81" s="17" t="s">
        <v>31</v>
      </c>
      <c r="G81" s="21">
        <v>3</v>
      </c>
      <c r="H81" s="12">
        <v>219.98</v>
      </c>
      <c r="I81" s="22">
        <v>0.15</v>
      </c>
      <c r="J81" s="12">
        <f t="shared" si="3"/>
        <v>560.95000000000005</v>
      </c>
      <c r="K81" s="17" t="s">
        <v>48</v>
      </c>
    </row>
    <row r="82" spans="1:11" x14ac:dyDescent="0.25">
      <c r="A82" s="17" t="s">
        <v>191</v>
      </c>
      <c r="B82" s="19">
        <v>46034</v>
      </c>
      <c r="C82" s="20">
        <f t="shared" si="2"/>
        <v>46023</v>
      </c>
      <c r="D82" s="17" t="s">
        <v>192</v>
      </c>
      <c r="E82" s="17" t="s">
        <v>16</v>
      </c>
      <c r="F82" s="17" t="s">
        <v>31</v>
      </c>
      <c r="G82" s="21">
        <v>1</v>
      </c>
      <c r="H82" s="12">
        <v>242.66</v>
      </c>
      <c r="I82" s="22">
        <v>0.1</v>
      </c>
      <c r="J82" s="12">
        <f t="shared" si="3"/>
        <v>218.39</v>
      </c>
      <c r="K82" s="17" t="s">
        <v>48</v>
      </c>
    </row>
    <row r="83" spans="1:11" x14ac:dyDescent="0.25">
      <c r="A83" s="17" t="s">
        <v>193</v>
      </c>
      <c r="B83" s="19">
        <v>46034</v>
      </c>
      <c r="C83" s="20">
        <f t="shared" si="2"/>
        <v>46023</v>
      </c>
      <c r="D83" s="17" t="s">
        <v>194</v>
      </c>
      <c r="E83" s="17" t="s">
        <v>16</v>
      </c>
      <c r="F83" s="17" t="s">
        <v>31</v>
      </c>
      <c r="G83" s="21">
        <v>2</v>
      </c>
      <c r="H83" s="12">
        <v>249.04</v>
      </c>
      <c r="I83" s="22">
        <v>0</v>
      </c>
      <c r="J83" s="12">
        <f t="shared" si="3"/>
        <v>498.08</v>
      </c>
      <c r="K83" s="17" t="s">
        <v>48</v>
      </c>
    </row>
    <row r="84" spans="1:11" x14ac:dyDescent="0.25">
      <c r="A84" s="17" t="s">
        <v>195</v>
      </c>
      <c r="B84" s="19">
        <v>46035</v>
      </c>
      <c r="C84" s="20">
        <f t="shared" si="2"/>
        <v>46023</v>
      </c>
      <c r="D84" s="17" t="s">
        <v>153</v>
      </c>
      <c r="E84" s="17" t="s">
        <v>16</v>
      </c>
      <c r="F84" s="17" t="s">
        <v>30</v>
      </c>
      <c r="G84" s="21">
        <v>1</v>
      </c>
      <c r="H84" s="12">
        <v>255.25</v>
      </c>
      <c r="I84" s="22">
        <v>0.15</v>
      </c>
      <c r="J84" s="12">
        <f t="shared" si="3"/>
        <v>216.96</v>
      </c>
      <c r="K84" s="17" t="s">
        <v>43</v>
      </c>
    </row>
    <row r="85" spans="1:11" x14ac:dyDescent="0.25">
      <c r="A85" s="17" t="s">
        <v>196</v>
      </c>
      <c r="B85" s="19">
        <v>46035</v>
      </c>
      <c r="C85" s="20">
        <f t="shared" si="2"/>
        <v>46023</v>
      </c>
      <c r="D85" s="17" t="s">
        <v>197</v>
      </c>
      <c r="E85" s="17" t="s">
        <v>21</v>
      </c>
      <c r="F85" s="17" t="s">
        <v>30</v>
      </c>
      <c r="G85" s="21">
        <v>2</v>
      </c>
      <c r="H85" s="12">
        <v>78.319999999999993</v>
      </c>
      <c r="I85" s="22">
        <v>0.15</v>
      </c>
      <c r="J85" s="12">
        <f t="shared" si="3"/>
        <v>133.13999999999999</v>
      </c>
      <c r="K85" s="17" t="s">
        <v>43</v>
      </c>
    </row>
    <row r="86" spans="1:11" x14ac:dyDescent="0.25">
      <c r="A86" s="17" t="s">
        <v>198</v>
      </c>
      <c r="B86" s="19">
        <v>46035</v>
      </c>
      <c r="C86" s="20">
        <f t="shared" si="2"/>
        <v>46023</v>
      </c>
      <c r="D86" s="17" t="s">
        <v>199</v>
      </c>
      <c r="E86" s="17" t="s">
        <v>25</v>
      </c>
      <c r="F86" s="17" t="s">
        <v>30</v>
      </c>
      <c r="G86" s="21">
        <v>3</v>
      </c>
      <c r="H86" s="12">
        <v>29.75</v>
      </c>
      <c r="I86" s="22">
        <v>0</v>
      </c>
      <c r="J86" s="12">
        <f t="shared" si="3"/>
        <v>89.25</v>
      </c>
      <c r="K86" s="17" t="s">
        <v>43</v>
      </c>
    </row>
    <row r="87" spans="1:11" x14ac:dyDescent="0.25">
      <c r="A87" s="17" t="s">
        <v>200</v>
      </c>
      <c r="B87" s="19">
        <v>46035</v>
      </c>
      <c r="C87" s="20">
        <f t="shared" si="2"/>
        <v>46023</v>
      </c>
      <c r="D87" s="17" t="s">
        <v>164</v>
      </c>
      <c r="E87" s="17" t="s">
        <v>20</v>
      </c>
      <c r="F87" s="17" t="s">
        <v>31</v>
      </c>
      <c r="G87" s="21">
        <v>5</v>
      </c>
      <c r="H87" s="12">
        <v>90.94</v>
      </c>
      <c r="I87" s="22">
        <v>0</v>
      </c>
      <c r="J87" s="12">
        <f t="shared" si="3"/>
        <v>454.7</v>
      </c>
      <c r="K87" s="17" t="s">
        <v>48</v>
      </c>
    </row>
    <row r="88" spans="1:11" x14ac:dyDescent="0.25">
      <c r="A88" s="17" t="s">
        <v>201</v>
      </c>
      <c r="B88" s="19">
        <v>46036</v>
      </c>
      <c r="C88" s="20">
        <f t="shared" si="2"/>
        <v>46023</v>
      </c>
      <c r="D88" s="17" t="s">
        <v>194</v>
      </c>
      <c r="E88" s="17" t="s">
        <v>27</v>
      </c>
      <c r="F88" s="17" t="s">
        <v>30</v>
      </c>
      <c r="G88" s="21">
        <v>4</v>
      </c>
      <c r="H88" s="12">
        <v>12.67</v>
      </c>
      <c r="I88" s="22">
        <v>0.1</v>
      </c>
      <c r="J88" s="12">
        <f t="shared" si="3"/>
        <v>45.61</v>
      </c>
      <c r="K88" s="17" t="s">
        <v>59</v>
      </c>
    </row>
    <row r="89" spans="1:11" x14ac:dyDescent="0.25">
      <c r="A89" s="17" t="s">
        <v>202</v>
      </c>
      <c r="B89" s="19">
        <v>46036</v>
      </c>
      <c r="C89" s="20">
        <f t="shared" si="2"/>
        <v>46023</v>
      </c>
      <c r="D89" s="17" t="s">
        <v>148</v>
      </c>
      <c r="E89" s="17" t="s">
        <v>24</v>
      </c>
      <c r="F89" s="17" t="s">
        <v>30</v>
      </c>
      <c r="G89" s="21">
        <v>4</v>
      </c>
      <c r="H89" s="12">
        <v>35.380000000000003</v>
      </c>
      <c r="I89" s="22">
        <v>0.1</v>
      </c>
      <c r="J89" s="12">
        <f t="shared" si="3"/>
        <v>127.37</v>
      </c>
      <c r="K89" s="17" t="s">
        <v>59</v>
      </c>
    </row>
    <row r="90" spans="1:11" x14ac:dyDescent="0.25">
      <c r="A90" s="17" t="s">
        <v>203</v>
      </c>
      <c r="B90" s="19">
        <v>46036</v>
      </c>
      <c r="C90" s="20">
        <f t="shared" si="2"/>
        <v>46023</v>
      </c>
      <c r="D90" s="17" t="s">
        <v>204</v>
      </c>
      <c r="E90" s="17" t="s">
        <v>21</v>
      </c>
      <c r="F90" s="17" t="s">
        <v>30</v>
      </c>
      <c r="G90" s="21">
        <v>2</v>
      </c>
      <c r="H90" s="12">
        <v>76.84</v>
      </c>
      <c r="I90" s="22">
        <v>0.1</v>
      </c>
      <c r="J90" s="12">
        <f t="shared" si="3"/>
        <v>138.31</v>
      </c>
      <c r="K90" s="17" t="s">
        <v>59</v>
      </c>
    </row>
    <row r="91" spans="1:11" x14ac:dyDescent="0.25">
      <c r="A91" s="17" t="s">
        <v>205</v>
      </c>
      <c r="B91" s="19">
        <v>46036</v>
      </c>
      <c r="C91" s="20">
        <f t="shared" si="2"/>
        <v>46023</v>
      </c>
      <c r="D91" s="17" t="s">
        <v>206</v>
      </c>
      <c r="E91" s="17" t="s">
        <v>16</v>
      </c>
      <c r="F91" s="17" t="s">
        <v>30</v>
      </c>
      <c r="G91" s="21">
        <v>1</v>
      </c>
      <c r="H91" s="12">
        <v>247.88</v>
      </c>
      <c r="I91" s="22">
        <v>0.1</v>
      </c>
      <c r="J91" s="12">
        <f t="shared" si="3"/>
        <v>223.09</v>
      </c>
      <c r="K91" s="17" t="s">
        <v>43</v>
      </c>
    </row>
    <row r="92" spans="1:11" x14ac:dyDescent="0.25">
      <c r="A92" s="17" t="s">
        <v>207</v>
      </c>
      <c r="B92" s="19">
        <v>46036</v>
      </c>
      <c r="C92" s="20">
        <f t="shared" si="2"/>
        <v>46023</v>
      </c>
      <c r="D92" s="17" t="s">
        <v>208</v>
      </c>
      <c r="E92" s="17" t="s">
        <v>18</v>
      </c>
      <c r="F92" s="17" t="s">
        <v>30</v>
      </c>
      <c r="G92" s="21">
        <v>1</v>
      </c>
      <c r="H92" s="12">
        <v>151.82</v>
      </c>
      <c r="I92" s="22">
        <v>0</v>
      </c>
      <c r="J92" s="12">
        <f t="shared" si="3"/>
        <v>151.82</v>
      </c>
      <c r="K92" s="17" t="s">
        <v>43</v>
      </c>
    </row>
    <row r="93" spans="1:11" x14ac:dyDescent="0.25">
      <c r="A93" s="17" t="s">
        <v>209</v>
      </c>
      <c r="B93" s="19">
        <v>46036</v>
      </c>
      <c r="C93" s="20">
        <f t="shared" si="2"/>
        <v>46023</v>
      </c>
      <c r="D93" s="17" t="s">
        <v>210</v>
      </c>
      <c r="E93" s="17" t="s">
        <v>24</v>
      </c>
      <c r="F93" s="17" t="s">
        <v>30</v>
      </c>
      <c r="G93" s="21">
        <v>1</v>
      </c>
      <c r="H93" s="12">
        <v>34.04</v>
      </c>
      <c r="I93" s="22">
        <v>0</v>
      </c>
      <c r="J93" s="12">
        <f t="shared" si="3"/>
        <v>34.04</v>
      </c>
      <c r="K93" s="17" t="s">
        <v>43</v>
      </c>
    </row>
    <row r="94" spans="1:11" x14ac:dyDescent="0.25">
      <c r="A94" s="17" t="s">
        <v>211</v>
      </c>
      <c r="B94" s="19">
        <v>46036</v>
      </c>
      <c r="C94" s="20">
        <f t="shared" si="2"/>
        <v>46023</v>
      </c>
      <c r="D94" s="17" t="s">
        <v>212</v>
      </c>
      <c r="E94" s="17" t="s">
        <v>27</v>
      </c>
      <c r="F94" s="17" t="s">
        <v>31</v>
      </c>
      <c r="G94" s="21">
        <v>4</v>
      </c>
      <c r="H94" s="12">
        <v>12.73</v>
      </c>
      <c r="I94" s="22">
        <v>0.15</v>
      </c>
      <c r="J94" s="12">
        <f t="shared" si="3"/>
        <v>43.28</v>
      </c>
      <c r="K94" s="17" t="s">
        <v>48</v>
      </c>
    </row>
    <row r="95" spans="1:11" x14ac:dyDescent="0.25">
      <c r="A95" s="17" t="s">
        <v>213</v>
      </c>
      <c r="B95" s="19">
        <v>46036</v>
      </c>
      <c r="C95" s="20">
        <f t="shared" si="2"/>
        <v>46023</v>
      </c>
      <c r="D95" s="17" t="s">
        <v>214</v>
      </c>
      <c r="E95" s="17" t="s">
        <v>17</v>
      </c>
      <c r="F95" s="17" t="s">
        <v>31</v>
      </c>
      <c r="G95" s="21">
        <v>3</v>
      </c>
      <c r="H95" s="12">
        <v>214.67</v>
      </c>
      <c r="I95" s="22">
        <v>0</v>
      </c>
      <c r="J95" s="12">
        <f t="shared" si="3"/>
        <v>644.01</v>
      </c>
      <c r="K95" s="17" t="s">
        <v>48</v>
      </c>
    </row>
    <row r="96" spans="1:11" x14ac:dyDescent="0.25">
      <c r="A96" s="17" t="s">
        <v>215</v>
      </c>
      <c r="B96" s="19">
        <v>46036</v>
      </c>
      <c r="C96" s="20">
        <f t="shared" si="2"/>
        <v>46023</v>
      </c>
      <c r="D96" s="17" t="s">
        <v>216</v>
      </c>
      <c r="E96" s="17" t="s">
        <v>22</v>
      </c>
      <c r="F96" s="17" t="s">
        <v>31</v>
      </c>
      <c r="G96" s="21">
        <v>4</v>
      </c>
      <c r="H96" s="12">
        <v>99.76</v>
      </c>
      <c r="I96" s="22">
        <v>0</v>
      </c>
      <c r="J96" s="12">
        <f t="shared" si="3"/>
        <v>399.04</v>
      </c>
      <c r="K96" s="17" t="s">
        <v>48</v>
      </c>
    </row>
    <row r="97" spans="1:11" x14ac:dyDescent="0.25">
      <c r="A97" s="17" t="s">
        <v>217</v>
      </c>
      <c r="B97" s="19">
        <v>46036</v>
      </c>
      <c r="C97" s="20">
        <f t="shared" si="2"/>
        <v>46023</v>
      </c>
      <c r="D97" s="17" t="s">
        <v>179</v>
      </c>
      <c r="E97" s="17" t="s">
        <v>26</v>
      </c>
      <c r="F97" s="17" t="s">
        <v>31</v>
      </c>
      <c r="G97" s="21">
        <v>1</v>
      </c>
      <c r="H97" s="12">
        <v>24.55</v>
      </c>
      <c r="I97" s="22">
        <v>0.05</v>
      </c>
      <c r="J97" s="12">
        <f t="shared" si="3"/>
        <v>23.32</v>
      </c>
      <c r="K97" s="17" t="s">
        <v>48</v>
      </c>
    </row>
    <row r="98" spans="1:11" x14ac:dyDescent="0.25">
      <c r="A98" s="17" t="s">
        <v>218</v>
      </c>
      <c r="B98" s="19">
        <v>46037</v>
      </c>
      <c r="C98" s="20">
        <f t="shared" si="2"/>
        <v>46023</v>
      </c>
      <c r="D98" s="17" t="s">
        <v>219</v>
      </c>
      <c r="E98" s="17" t="s">
        <v>24</v>
      </c>
      <c r="F98" s="17" t="s">
        <v>30</v>
      </c>
      <c r="G98" s="21">
        <v>1</v>
      </c>
      <c r="H98" s="12">
        <v>35.21</v>
      </c>
      <c r="I98" s="22">
        <v>0</v>
      </c>
      <c r="J98" s="12">
        <f t="shared" si="3"/>
        <v>35.21</v>
      </c>
      <c r="K98" s="17" t="s">
        <v>59</v>
      </c>
    </row>
    <row r="99" spans="1:11" x14ac:dyDescent="0.25">
      <c r="A99" s="17" t="s">
        <v>220</v>
      </c>
      <c r="B99" s="19">
        <v>46037</v>
      </c>
      <c r="C99" s="20">
        <f t="shared" si="2"/>
        <v>46023</v>
      </c>
      <c r="D99" s="17" t="s">
        <v>221</v>
      </c>
      <c r="E99" s="17" t="s">
        <v>26</v>
      </c>
      <c r="F99" s="17" t="s">
        <v>30</v>
      </c>
      <c r="G99" s="21">
        <v>1</v>
      </c>
      <c r="H99" s="12">
        <v>24.54</v>
      </c>
      <c r="I99" s="22">
        <v>0</v>
      </c>
      <c r="J99" s="12">
        <f t="shared" si="3"/>
        <v>24.54</v>
      </c>
      <c r="K99" s="17" t="s">
        <v>43</v>
      </c>
    </row>
    <row r="100" spans="1:11" x14ac:dyDescent="0.25">
      <c r="A100" s="17" t="s">
        <v>222</v>
      </c>
      <c r="B100" s="19">
        <v>46037</v>
      </c>
      <c r="C100" s="20">
        <f t="shared" si="2"/>
        <v>46023</v>
      </c>
      <c r="D100" s="17" t="s">
        <v>223</v>
      </c>
      <c r="E100" s="17" t="s">
        <v>19</v>
      </c>
      <c r="F100" s="17" t="s">
        <v>30</v>
      </c>
      <c r="G100" s="21">
        <v>4</v>
      </c>
      <c r="H100" s="12">
        <v>125.75</v>
      </c>
      <c r="I100" s="22">
        <v>0</v>
      </c>
      <c r="J100" s="12">
        <f t="shared" si="3"/>
        <v>503</v>
      </c>
      <c r="K100" s="17" t="s">
        <v>43</v>
      </c>
    </row>
    <row r="101" spans="1:11" x14ac:dyDescent="0.25">
      <c r="A101" s="17" t="s">
        <v>224</v>
      </c>
      <c r="B101" s="19">
        <v>46037</v>
      </c>
      <c r="C101" s="20">
        <f t="shared" si="2"/>
        <v>46023</v>
      </c>
      <c r="D101" s="17" t="s">
        <v>225</v>
      </c>
      <c r="E101" s="17" t="s">
        <v>27</v>
      </c>
      <c r="F101" s="17" t="s">
        <v>31</v>
      </c>
      <c r="G101" s="21">
        <v>1</v>
      </c>
      <c r="H101" s="12">
        <v>12.78</v>
      </c>
      <c r="I101" s="22">
        <v>0</v>
      </c>
      <c r="J101" s="12">
        <f t="shared" si="3"/>
        <v>12.78</v>
      </c>
      <c r="K101" s="17" t="s">
        <v>48</v>
      </c>
    </row>
    <row r="102" spans="1:11" x14ac:dyDescent="0.25">
      <c r="A102" s="17" t="s">
        <v>226</v>
      </c>
      <c r="B102" s="19">
        <v>46038</v>
      </c>
      <c r="C102" s="20">
        <f t="shared" si="2"/>
        <v>46023</v>
      </c>
      <c r="D102" s="17" t="s">
        <v>227</v>
      </c>
      <c r="E102" s="17" t="s">
        <v>18</v>
      </c>
      <c r="F102" s="17" t="s">
        <v>30</v>
      </c>
      <c r="G102" s="21">
        <v>2</v>
      </c>
      <c r="H102" s="12">
        <v>148.47</v>
      </c>
      <c r="I102" s="22">
        <v>0</v>
      </c>
      <c r="J102" s="12">
        <f t="shared" si="3"/>
        <v>296.94</v>
      </c>
      <c r="K102" s="17" t="s">
        <v>59</v>
      </c>
    </row>
    <row r="103" spans="1:11" x14ac:dyDescent="0.25">
      <c r="A103" s="17" t="s">
        <v>228</v>
      </c>
      <c r="B103" s="19">
        <v>46038</v>
      </c>
      <c r="C103" s="20">
        <f t="shared" si="2"/>
        <v>46023</v>
      </c>
      <c r="D103" s="17" t="s">
        <v>229</v>
      </c>
      <c r="E103" s="17" t="s">
        <v>27</v>
      </c>
      <c r="F103" s="17" t="s">
        <v>30</v>
      </c>
      <c r="G103" s="21">
        <v>4</v>
      </c>
      <c r="H103" s="12">
        <v>12.75</v>
      </c>
      <c r="I103" s="22">
        <v>0</v>
      </c>
      <c r="J103" s="12">
        <f t="shared" si="3"/>
        <v>51</v>
      </c>
      <c r="K103" s="17" t="s">
        <v>59</v>
      </c>
    </row>
    <row r="104" spans="1:11" x14ac:dyDescent="0.25">
      <c r="A104" s="17" t="s">
        <v>230</v>
      </c>
      <c r="B104" s="19">
        <v>46038</v>
      </c>
      <c r="C104" s="20">
        <f t="shared" si="2"/>
        <v>46023</v>
      </c>
      <c r="D104" s="17" t="s">
        <v>231</v>
      </c>
      <c r="E104" s="17" t="s">
        <v>18</v>
      </c>
      <c r="F104" s="17" t="s">
        <v>30</v>
      </c>
      <c r="G104" s="21">
        <v>2</v>
      </c>
      <c r="H104" s="12">
        <v>147.19999999999999</v>
      </c>
      <c r="I104" s="22">
        <v>0</v>
      </c>
      <c r="J104" s="12">
        <f t="shared" si="3"/>
        <v>294.39999999999998</v>
      </c>
      <c r="K104" s="17" t="s">
        <v>43</v>
      </c>
    </row>
    <row r="105" spans="1:11" x14ac:dyDescent="0.25">
      <c r="A105" s="17" t="s">
        <v>232</v>
      </c>
      <c r="B105" s="19">
        <v>46038</v>
      </c>
      <c r="C105" s="20">
        <f t="shared" si="2"/>
        <v>46023</v>
      </c>
      <c r="D105" s="17" t="s">
        <v>233</v>
      </c>
      <c r="E105" s="17" t="s">
        <v>25</v>
      </c>
      <c r="F105" s="17" t="s">
        <v>30</v>
      </c>
      <c r="G105" s="21">
        <v>1</v>
      </c>
      <c r="H105" s="12">
        <v>30.83</v>
      </c>
      <c r="I105" s="22">
        <v>0.05</v>
      </c>
      <c r="J105" s="12">
        <f t="shared" si="3"/>
        <v>29.29</v>
      </c>
      <c r="K105" s="17" t="s">
        <v>43</v>
      </c>
    </row>
    <row r="106" spans="1:11" x14ac:dyDescent="0.25">
      <c r="A106" s="17" t="s">
        <v>234</v>
      </c>
      <c r="B106" s="19">
        <v>46038</v>
      </c>
      <c r="C106" s="20">
        <f t="shared" si="2"/>
        <v>46023</v>
      </c>
      <c r="D106" s="17" t="s">
        <v>235</v>
      </c>
      <c r="E106" s="17" t="s">
        <v>26</v>
      </c>
      <c r="F106" s="17" t="s">
        <v>31</v>
      </c>
      <c r="G106" s="21">
        <v>2</v>
      </c>
      <c r="H106" s="12">
        <v>24.07</v>
      </c>
      <c r="I106" s="22">
        <v>0</v>
      </c>
      <c r="J106" s="12">
        <f t="shared" si="3"/>
        <v>48.14</v>
      </c>
      <c r="K106" s="17" t="s">
        <v>48</v>
      </c>
    </row>
    <row r="107" spans="1:11" x14ac:dyDescent="0.25">
      <c r="A107" s="17" t="s">
        <v>236</v>
      </c>
      <c r="B107" s="19">
        <v>46038</v>
      </c>
      <c r="C107" s="20">
        <f t="shared" si="2"/>
        <v>46023</v>
      </c>
      <c r="D107" s="17" t="s">
        <v>237</v>
      </c>
      <c r="E107" s="17" t="s">
        <v>22</v>
      </c>
      <c r="F107" s="17" t="s">
        <v>31</v>
      </c>
      <c r="G107" s="21">
        <v>5</v>
      </c>
      <c r="H107" s="12">
        <v>96.59</v>
      </c>
      <c r="I107" s="22">
        <v>0</v>
      </c>
      <c r="J107" s="12">
        <f t="shared" si="3"/>
        <v>482.95</v>
      </c>
      <c r="K107" s="17" t="s">
        <v>48</v>
      </c>
    </row>
    <row r="108" spans="1:11" x14ac:dyDescent="0.25">
      <c r="A108" s="17" t="s">
        <v>238</v>
      </c>
      <c r="B108" s="19">
        <v>46038</v>
      </c>
      <c r="C108" s="20">
        <f t="shared" si="2"/>
        <v>46023</v>
      </c>
      <c r="D108" s="17" t="s">
        <v>239</v>
      </c>
      <c r="E108" s="17" t="s">
        <v>21</v>
      </c>
      <c r="F108" s="17" t="s">
        <v>31</v>
      </c>
      <c r="G108" s="21">
        <v>2</v>
      </c>
      <c r="H108" s="12">
        <v>78.91</v>
      </c>
      <c r="I108" s="22">
        <v>0.1</v>
      </c>
      <c r="J108" s="12">
        <f t="shared" si="3"/>
        <v>142.04</v>
      </c>
      <c r="K108" s="17" t="s">
        <v>48</v>
      </c>
    </row>
    <row r="109" spans="1:11" x14ac:dyDescent="0.25">
      <c r="A109" s="17" t="s">
        <v>240</v>
      </c>
      <c r="B109" s="19">
        <v>46039</v>
      </c>
      <c r="C109" s="20">
        <f t="shared" si="2"/>
        <v>46023</v>
      </c>
      <c r="D109" s="17" t="s">
        <v>235</v>
      </c>
      <c r="E109" s="17" t="s">
        <v>16</v>
      </c>
      <c r="F109" s="17" t="s">
        <v>30</v>
      </c>
      <c r="G109" s="21">
        <v>5</v>
      </c>
      <c r="H109" s="12">
        <v>251.7</v>
      </c>
      <c r="I109" s="22">
        <v>0.05</v>
      </c>
      <c r="J109" s="12">
        <f t="shared" si="3"/>
        <v>1195.58</v>
      </c>
      <c r="K109" s="17" t="s">
        <v>59</v>
      </c>
    </row>
    <row r="110" spans="1:11" x14ac:dyDescent="0.25">
      <c r="A110" s="17" t="s">
        <v>241</v>
      </c>
      <c r="B110" s="19">
        <v>46039</v>
      </c>
      <c r="C110" s="20">
        <f t="shared" si="2"/>
        <v>46023</v>
      </c>
      <c r="D110" s="17" t="s">
        <v>242</v>
      </c>
      <c r="E110" s="17" t="s">
        <v>25</v>
      </c>
      <c r="F110" s="17" t="s">
        <v>30</v>
      </c>
      <c r="G110" s="21">
        <v>1</v>
      </c>
      <c r="H110" s="12">
        <v>29.95</v>
      </c>
      <c r="I110" s="22">
        <v>0.05</v>
      </c>
      <c r="J110" s="12">
        <f t="shared" si="3"/>
        <v>28.45</v>
      </c>
      <c r="K110" s="17" t="s">
        <v>59</v>
      </c>
    </row>
    <row r="111" spans="1:11" x14ac:dyDescent="0.25">
      <c r="A111" s="17" t="s">
        <v>243</v>
      </c>
      <c r="B111" s="19">
        <v>46039</v>
      </c>
      <c r="C111" s="20">
        <f t="shared" si="2"/>
        <v>46023</v>
      </c>
      <c r="D111" s="17" t="s">
        <v>244</v>
      </c>
      <c r="E111" s="17" t="s">
        <v>24</v>
      </c>
      <c r="F111" s="17" t="s">
        <v>30</v>
      </c>
      <c r="G111" s="21">
        <v>1</v>
      </c>
      <c r="H111" s="12">
        <v>33.950000000000003</v>
      </c>
      <c r="I111" s="22">
        <v>0</v>
      </c>
      <c r="J111" s="12">
        <f t="shared" si="3"/>
        <v>33.950000000000003</v>
      </c>
      <c r="K111" s="17" t="s">
        <v>43</v>
      </c>
    </row>
    <row r="112" spans="1:11" x14ac:dyDescent="0.25">
      <c r="A112" s="17" t="s">
        <v>245</v>
      </c>
      <c r="B112" s="19">
        <v>46039</v>
      </c>
      <c r="C112" s="20">
        <f t="shared" si="2"/>
        <v>46023</v>
      </c>
      <c r="D112" s="17" t="s">
        <v>144</v>
      </c>
      <c r="E112" s="17" t="s">
        <v>24</v>
      </c>
      <c r="F112" s="17" t="s">
        <v>30</v>
      </c>
      <c r="G112" s="21">
        <v>5</v>
      </c>
      <c r="H112" s="12">
        <v>35.130000000000003</v>
      </c>
      <c r="I112" s="22">
        <v>0.05</v>
      </c>
      <c r="J112" s="12">
        <f t="shared" si="3"/>
        <v>166.87</v>
      </c>
      <c r="K112" s="17" t="s">
        <v>43</v>
      </c>
    </row>
    <row r="113" spans="1:11" x14ac:dyDescent="0.25">
      <c r="A113" s="17" t="s">
        <v>246</v>
      </c>
      <c r="B113" s="19">
        <v>46039</v>
      </c>
      <c r="C113" s="20">
        <f t="shared" si="2"/>
        <v>46023</v>
      </c>
      <c r="D113" s="17" t="s">
        <v>247</v>
      </c>
      <c r="E113" s="17" t="s">
        <v>27</v>
      </c>
      <c r="F113" s="17" t="s">
        <v>30</v>
      </c>
      <c r="G113" s="21">
        <v>1</v>
      </c>
      <c r="H113" s="12">
        <v>13.2</v>
      </c>
      <c r="I113" s="22">
        <v>0.05</v>
      </c>
      <c r="J113" s="12">
        <f t="shared" si="3"/>
        <v>12.54</v>
      </c>
      <c r="K113" s="17" t="s">
        <v>43</v>
      </c>
    </row>
    <row r="114" spans="1:11" x14ac:dyDescent="0.25">
      <c r="A114" s="17" t="s">
        <v>248</v>
      </c>
      <c r="B114" s="19">
        <v>46039</v>
      </c>
      <c r="C114" s="20">
        <f t="shared" si="2"/>
        <v>46023</v>
      </c>
      <c r="D114" s="17" t="s">
        <v>249</v>
      </c>
      <c r="E114" s="17" t="s">
        <v>26</v>
      </c>
      <c r="F114" s="17" t="s">
        <v>30</v>
      </c>
      <c r="G114" s="21">
        <v>3</v>
      </c>
      <c r="H114" s="12">
        <v>23.81</v>
      </c>
      <c r="I114" s="22">
        <v>0</v>
      </c>
      <c r="J114" s="12">
        <f t="shared" si="3"/>
        <v>71.430000000000007</v>
      </c>
      <c r="K114" s="17" t="s">
        <v>43</v>
      </c>
    </row>
    <row r="115" spans="1:11" x14ac:dyDescent="0.25">
      <c r="A115" s="17" t="s">
        <v>250</v>
      </c>
      <c r="B115" s="19">
        <v>46039</v>
      </c>
      <c r="C115" s="20">
        <f t="shared" si="2"/>
        <v>46023</v>
      </c>
      <c r="D115" s="17" t="s">
        <v>251</v>
      </c>
      <c r="E115" s="17" t="s">
        <v>18</v>
      </c>
      <c r="F115" s="17" t="s">
        <v>31</v>
      </c>
      <c r="G115" s="21">
        <v>5</v>
      </c>
      <c r="H115" s="12">
        <v>147.12</v>
      </c>
      <c r="I115" s="22">
        <v>0.1</v>
      </c>
      <c r="J115" s="12">
        <f t="shared" si="3"/>
        <v>662.04</v>
      </c>
      <c r="K115" s="17" t="s">
        <v>48</v>
      </c>
    </row>
    <row r="116" spans="1:11" x14ac:dyDescent="0.25">
      <c r="A116" s="17" t="s">
        <v>252</v>
      </c>
      <c r="B116" s="19">
        <v>46039</v>
      </c>
      <c r="C116" s="20">
        <f t="shared" si="2"/>
        <v>46023</v>
      </c>
      <c r="D116" s="17" t="s">
        <v>253</v>
      </c>
      <c r="E116" s="17" t="s">
        <v>23</v>
      </c>
      <c r="F116" s="17" t="s">
        <v>31</v>
      </c>
      <c r="G116" s="21">
        <v>1</v>
      </c>
      <c r="H116" s="12">
        <v>58.92</v>
      </c>
      <c r="I116" s="22">
        <v>0.15</v>
      </c>
      <c r="J116" s="12">
        <f t="shared" si="3"/>
        <v>50.08</v>
      </c>
      <c r="K116" s="17" t="s">
        <v>48</v>
      </c>
    </row>
    <row r="117" spans="1:11" x14ac:dyDescent="0.25">
      <c r="A117" s="17" t="s">
        <v>254</v>
      </c>
      <c r="B117" s="19">
        <v>46039</v>
      </c>
      <c r="C117" s="20">
        <f t="shared" si="2"/>
        <v>46023</v>
      </c>
      <c r="D117" s="17" t="s">
        <v>255</v>
      </c>
      <c r="E117" s="17" t="s">
        <v>26</v>
      </c>
      <c r="F117" s="17" t="s">
        <v>31</v>
      </c>
      <c r="G117" s="21">
        <v>1</v>
      </c>
      <c r="H117" s="12">
        <v>24.09</v>
      </c>
      <c r="I117" s="22">
        <v>0</v>
      </c>
      <c r="J117" s="12">
        <f t="shared" si="3"/>
        <v>24.09</v>
      </c>
      <c r="K117" s="17" t="s">
        <v>48</v>
      </c>
    </row>
    <row r="118" spans="1:11" x14ac:dyDescent="0.25">
      <c r="A118" s="17" t="s">
        <v>256</v>
      </c>
      <c r="B118" s="19">
        <v>46040</v>
      </c>
      <c r="C118" s="20">
        <f t="shared" si="2"/>
        <v>46023</v>
      </c>
      <c r="D118" s="17" t="s">
        <v>106</v>
      </c>
      <c r="E118" s="17" t="s">
        <v>18</v>
      </c>
      <c r="F118" s="17" t="s">
        <v>30</v>
      </c>
      <c r="G118" s="21">
        <v>4</v>
      </c>
      <c r="H118" s="12">
        <v>145.06</v>
      </c>
      <c r="I118" s="22">
        <v>0.1</v>
      </c>
      <c r="J118" s="12">
        <f t="shared" si="3"/>
        <v>522.22</v>
      </c>
      <c r="K118" s="17" t="s">
        <v>59</v>
      </c>
    </row>
    <row r="119" spans="1:11" x14ac:dyDescent="0.25">
      <c r="A119" s="17" t="s">
        <v>257</v>
      </c>
      <c r="B119" s="19">
        <v>46040</v>
      </c>
      <c r="C119" s="20">
        <f t="shared" si="2"/>
        <v>46023</v>
      </c>
      <c r="D119" s="17" t="s">
        <v>258</v>
      </c>
      <c r="E119" s="17" t="s">
        <v>20</v>
      </c>
      <c r="F119" s="17" t="s">
        <v>30</v>
      </c>
      <c r="G119" s="21">
        <v>5</v>
      </c>
      <c r="H119" s="12">
        <v>90.35</v>
      </c>
      <c r="I119" s="22">
        <v>0</v>
      </c>
      <c r="J119" s="12">
        <f t="shared" si="3"/>
        <v>451.75</v>
      </c>
      <c r="K119" s="17" t="s">
        <v>59</v>
      </c>
    </row>
    <row r="120" spans="1:11" x14ac:dyDescent="0.25">
      <c r="A120" s="17" t="s">
        <v>259</v>
      </c>
      <c r="B120" s="19">
        <v>46040</v>
      </c>
      <c r="C120" s="20">
        <f t="shared" si="2"/>
        <v>46023</v>
      </c>
      <c r="D120" s="17" t="s">
        <v>197</v>
      </c>
      <c r="E120" s="17" t="s">
        <v>21</v>
      </c>
      <c r="F120" s="17" t="s">
        <v>30</v>
      </c>
      <c r="G120" s="21">
        <v>2</v>
      </c>
      <c r="H120" s="12">
        <v>78.59</v>
      </c>
      <c r="I120" s="22">
        <v>0.05</v>
      </c>
      <c r="J120" s="12">
        <f t="shared" si="3"/>
        <v>149.32</v>
      </c>
      <c r="K120" s="17" t="s">
        <v>59</v>
      </c>
    </row>
    <row r="121" spans="1:11" x14ac:dyDescent="0.25">
      <c r="A121" s="17" t="s">
        <v>260</v>
      </c>
      <c r="B121" s="19">
        <v>46040</v>
      </c>
      <c r="C121" s="20">
        <f t="shared" si="2"/>
        <v>46023</v>
      </c>
      <c r="D121" s="17" t="s">
        <v>261</v>
      </c>
      <c r="E121" s="17" t="s">
        <v>19</v>
      </c>
      <c r="F121" s="17" t="s">
        <v>30</v>
      </c>
      <c r="G121" s="21">
        <v>3</v>
      </c>
      <c r="H121" s="12">
        <v>126.82</v>
      </c>
      <c r="I121" s="22">
        <v>0.15</v>
      </c>
      <c r="J121" s="12">
        <f t="shared" si="3"/>
        <v>323.39</v>
      </c>
      <c r="K121" s="17" t="s">
        <v>43</v>
      </c>
    </row>
    <row r="122" spans="1:11" x14ac:dyDescent="0.25">
      <c r="A122" s="17" t="s">
        <v>262</v>
      </c>
      <c r="B122" s="19">
        <v>46040</v>
      </c>
      <c r="C122" s="20">
        <f t="shared" si="2"/>
        <v>46023</v>
      </c>
      <c r="D122" s="17" t="s">
        <v>263</v>
      </c>
      <c r="E122" s="17" t="s">
        <v>19</v>
      </c>
      <c r="F122" s="17" t="s">
        <v>30</v>
      </c>
      <c r="G122" s="21">
        <v>2</v>
      </c>
      <c r="H122" s="12">
        <v>130.31</v>
      </c>
      <c r="I122" s="22">
        <v>0</v>
      </c>
      <c r="J122" s="12">
        <f t="shared" si="3"/>
        <v>260.62</v>
      </c>
      <c r="K122" s="17" t="s">
        <v>43</v>
      </c>
    </row>
    <row r="123" spans="1:11" x14ac:dyDescent="0.25">
      <c r="A123" s="17" t="s">
        <v>264</v>
      </c>
      <c r="B123" s="19">
        <v>46040</v>
      </c>
      <c r="C123" s="20">
        <f t="shared" si="2"/>
        <v>46023</v>
      </c>
      <c r="D123" s="17" t="s">
        <v>265</v>
      </c>
      <c r="E123" s="17" t="s">
        <v>20</v>
      </c>
      <c r="F123" s="17" t="s">
        <v>30</v>
      </c>
      <c r="G123" s="21">
        <v>5</v>
      </c>
      <c r="H123" s="12">
        <v>90.73</v>
      </c>
      <c r="I123" s="22">
        <v>0.05</v>
      </c>
      <c r="J123" s="12">
        <f t="shared" si="3"/>
        <v>430.97</v>
      </c>
      <c r="K123" s="17" t="s">
        <v>43</v>
      </c>
    </row>
    <row r="124" spans="1:11" x14ac:dyDescent="0.25">
      <c r="A124" s="17" t="s">
        <v>266</v>
      </c>
      <c r="B124" s="19">
        <v>46040</v>
      </c>
      <c r="C124" s="20">
        <f t="shared" si="2"/>
        <v>46023</v>
      </c>
      <c r="D124" s="17" t="s">
        <v>78</v>
      </c>
      <c r="E124" s="17" t="s">
        <v>27</v>
      </c>
      <c r="F124" s="17" t="s">
        <v>31</v>
      </c>
      <c r="G124" s="21">
        <v>1</v>
      </c>
      <c r="H124" s="12">
        <v>12.89</v>
      </c>
      <c r="I124" s="22">
        <v>0.05</v>
      </c>
      <c r="J124" s="12">
        <f t="shared" si="3"/>
        <v>12.25</v>
      </c>
      <c r="K124" s="17" t="s">
        <v>48</v>
      </c>
    </row>
    <row r="125" spans="1:11" x14ac:dyDescent="0.25">
      <c r="A125" s="17" t="s">
        <v>267</v>
      </c>
      <c r="B125" s="19">
        <v>46040</v>
      </c>
      <c r="C125" s="20">
        <f t="shared" si="2"/>
        <v>46023</v>
      </c>
      <c r="D125" s="17" t="s">
        <v>268</v>
      </c>
      <c r="E125" s="17" t="s">
        <v>20</v>
      </c>
      <c r="F125" s="17" t="s">
        <v>31</v>
      </c>
      <c r="G125" s="21">
        <v>2</v>
      </c>
      <c r="H125" s="12">
        <v>90.66</v>
      </c>
      <c r="I125" s="22">
        <v>0.1</v>
      </c>
      <c r="J125" s="12">
        <f t="shared" si="3"/>
        <v>163.19</v>
      </c>
      <c r="K125" s="17" t="s">
        <v>48</v>
      </c>
    </row>
    <row r="126" spans="1:11" x14ac:dyDescent="0.25">
      <c r="A126" s="17" t="s">
        <v>269</v>
      </c>
      <c r="B126" s="19">
        <v>46040</v>
      </c>
      <c r="C126" s="20">
        <f t="shared" si="2"/>
        <v>46023</v>
      </c>
      <c r="D126" s="17" t="s">
        <v>94</v>
      </c>
      <c r="E126" s="17" t="s">
        <v>18</v>
      </c>
      <c r="F126" s="17" t="s">
        <v>31</v>
      </c>
      <c r="G126" s="21">
        <v>2</v>
      </c>
      <c r="H126" s="12">
        <v>147.13999999999999</v>
      </c>
      <c r="I126" s="22">
        <v>0</v>
      </c>
      <c r="J126" s="12">
        <f t="shared" si="3"/>
        <v>294.27999999999997</v>
      </c>
      <c r="K126" s="17" t="s">
        <v>48</v>
      </c>
    </row>
    <row r="127" spans="1:11" x14ac:dyDescent="0.25">
      <c r="A127" s="17" t="s">
        <v>270</v>
      </c>
      <c r="B127" s="19">
        <v>46041</v>
      </c>
      <c r="C127" s="20">
        <f t="shared" si="2"/>
        <v>46023</v>
      </c>
      <c r="D127" s="17" t="s">
        <v>225</v>
      </c>
      <c r="E127" s="17" t="s">
        <v>23</v>
      </c>
      <c r="F127" s="17" t="s">
        <v>30</v>
      </c>
      <c r="G127" s="21">
        <v>1</v>
      </c>
      <c r="H127" s="12">
        <v>57.98</v>
      </c>
      <c r="I127" s="22">
        <v>0</v>
      </c>
      <c r="J127" s="12">
        <f t="shared" si="3"/>
        <v>57.98</v>
      </c>
      <c r="K127" s="17" t="s">
        <v>59</v>
      </c>
    </row>
    <row r="128" spans="1:11" x14ac:dyDescent="0.25">
      <c r="A128" s="17" t="s">
        <v>271</v>
      </c>
      <c r="B128" s="19">
        <v>46041</v>
      </c>
      <c r="C128" s="20">
        <f t="shared" si="2"/>
        <v>46023</v>
      </c>
      <c r="D128" s="17" t="s">
        <v>272</v>
      </c>
      <c r="E128" s="17" t="s">
        <v>27</v>
      </c>
      <c r="F128" s="17" t="s">
        <v>30</v>
      </c>
      <c r="G128" s="21">
        <v>1</v>
      </c>
      <c r="H128" s="12">
        <v>12.64</v>
      </c>
      <c r="I128" s="22">
        <v>0.15</v>
      </c>
      <c r="J128" s="12">
        <f t="shared" si="3"/>
        <v>10.74</v>
      </c>
      <c r="K128" s="17" t="s">
        <v>59</v>
      </c>
    </row>
    <row r="129" spans="1:11" x14ac:dyDescent="0.25">
      <c r="A129" s="17" t="s">
        <v>273</v>
      </c>
      <c r="B129" s="19">
        <v>46041</v>
      </c>
      <c r="C129" s="20">
        <f t="shared" si="2"/>
        <v>46023</v>
      </c>
      <c r="D129" s="17" t="s">
        <v>274</v>
      </c>
      <c r="E129" s="17" t="s">
        <v>16</v>
      </c>
      <c r="F129" s="17" t="s">
        <v>30</v>
      </c>
      <c r="G129" s="21">
        <v>3</v>
      </c>
      <c r="H129" s="12">
        <v>247.26</v>
      </c>
      <c r="I129" s="22">
        <v>0.1</v>
      </c>
      <c r="J129" s="12">
        <f t="shared" si="3"/>
        <v>667.6</v>
      </c>
      <c r="K129" s="17" t="s">
        <v>43</v>
      </c>
    </row>
    <row r="130" spans="1:11" x14ac:dyDescent="0.25">
      <c r="A130" s="17" t="s">
        <v>275</v>
      </c>
      <c r="B130" s="19">
        <v>46041</v>
      </c>
      <c r="C130" s="20">
        <f t="shared" ref="C130:C193" si="4">DATE(YEAR(B130),MONTH(B130),1)</f>
        <v>46023</v>
      </c>
      <c r="D130" s="17" t="s">
        <v>265</v>
      </c>
      <c r="E130" s="17" t="s">
        <v>23</v>
      </c>
      <c r="F130" s="17" t="s">
        <v>31</v>
      </c>
      <c r="G130" s="21">
        <v>2</v>
      </c>
      <c r="H130" s="12">
        <v>60.45</v>
      </c>
      <c r="I130" s="22">
        <v>0</v>
      </c>
      <c r="J130" s="12">
        <f t="shared" ref="J130:J193" si="5">ROUND(G130*H130*(1-I130),2)</f>
        <v>120.9</v>
      </c>
      <c r="K130" s="17" t="s">
        <v>48</v>
      </c>
    </row>
    <row r="131" spans="1:11" x14ac:dyDescent="0.25">
      <c r="A131" s="17" t="s">
        <v>276</v>
      </c>
      <c r="B131" s="19">
        <v>46042</v>
      </c>
      <c r="C131" s="20">
        <f t="shared" si="4"/>
        <v>46023</v>
      </c>
      <c r="D131" s="17" t="s">
        <v>108</v>
      </c>
      <c r="E131" s="17" t="s">
        <v>24</v>
      </c>
      <c r="F131" s="17" t="s">
        <v>30</v>
      </c>
      <c r="G131" s="21">
        <v>2</v>
      </c>
      <c r="H131" s="12">
        <v>34.42</v>
      </c>
      <c r="I131" s="22">
        <v>0.15</v>
      </c>
      <c r="J131" s="12">
        <f t="shared" si="5"/>
        <v>58.51</v>
      </c>
      <c r="K131" s="17" t="s">
        <v>59</v>
      </c>
    </row>
    <row r="132" spans="1:11" x14ac:dyDescent="0.25">
      <c r="A132" s="17" t="s">
        <v>277</v>
      </c>
      <c r="B132" s="19">
        <v>46042</v>
      </c>
      <c r="C132" s="20">
        <f t="shared" si="4"/>
        <v>46023</v>
      </c>
      <c r="D132" s="17" t="s">
        <v>278</v>
      </c>
      <c r="E132" s="17" t="s">
        <v>17</v>
      </c>
      <c r="F132" s="17" t="s">
        <v>30</v>
      </c>
      <c r="G132" s="21">
        <v>5</v>
      </c>
      <c r="H132" s="12">
        <v>225.02</v>
      </c>
      <c r="I132" s="22">
        <v>0.05</v>
      </c>
      <c r="J132" s="12">
        <f t="shared" si="5"/>
        <v>1068.8499999999999</v>
      </c>
      <c r="K132" s="17" t="s">
        <v>59</v>
      </c>
    </row>
    <row r="133" spans="1:11" x14ac:dyDescent="0.25">
      <c r="A133" s="17" t="s">
        <v>279</v>
      </c>
      <c r="B133" s="19">
        <v>46042</v>
      </c>
      <c r="C133" s="20">
        <f t="shared" si="4"/>
        <v>46023</v>
      </c>
      <c r="D133" s="17" t="s">
        <v>58</v>
      </c>
      <c r="E133" s="17" t="s">
        <v>23</v>
      </c>
      <c r="F133" s="17" t="s">
        <v>30</v>
      </c>
      <c r="G133" s="21">
        <v>1</v>
      </c>
      <c r="H133" s="12">
        <v>57.62</v>
      </c>
      <c r="I133" s="22">
        <v>0</v>
      </c>
      <c r="J133" s="12">
        <f t="shared" si="5"/>
        <v>57.62</v>
      </c>
      <c r="K133" s="17" t="s">
        <v>59</v>
      </c>
    </row>
    <row r="134" spans="1:11" x14ac:dyDescent="0.25">
      <c r="A134" s="17" t="s">
        <v>280</v>
      </c>
      <c r="B134" s="19">
        <v>46042</v>
      </c>
      <c r="C134" s="20">
        <f t="shared" si="4"/>
        <v>46023</v>
      </c>
      <c r="D134" s="17" t="s">
        <v>190</v>
      </c>
      <c r="E134" s="17" t="s">
        <v>21</v>
      </c>
      <c r="F134" s="17" t="s">
        <v>31</v>
      </c>
      <c r="G134" s="21">
        <v>3</v>
      </c>
      <c r="H134" s="12">
        <v>77.73</v>
      </c>
      <c r="I134" s="22">
        <v>0.15</v>
      </c>
      <c r="J134" s="12">
        <f t="shared" si="5"/>
        <v>198.21</v>
      </c>
      <c r="K134" s="17" t="s">
        <v>48</v>
      </c>
    </row>
    <row r="135" spans="1:11" x14ac:dyDescent="0.25">
      <c r="A135" s="17" t="s">
        <v>281</v>
      </c>
      <c r="B135" s="19">
        <v>46042</v>
      </c>
      <c r="C135" s="20">
        <f t="shared" si="4"/>
        <v>46023</v>
      </c>
      <c r="D135" s="17" t="s">
        <v>86</v>
      </c>
      <c r="E135" s="17" t="s">
        <v>21</v>
      </c>
      <c r="F135" s="17" t="s">
        <v>31</v>
      </c>
      <c r="G135" s="21">
        <v>5</v>
      </c>
      <c r="H135" s="12">
        <v>78.73</v>
      </c>
      <c r="I135" s="22">
        <v>0</v>
      </c>
      <c r="J135" s="12">
        <f t="shared" si="5"/>
        <v>393.65</v>
      </c>
      <c r="K135" s="17" t="s">
        <v>48</v>
      </c>
    </row>
    <row r="136" spans="1:11" x14ac:dyDescent="0.25">
      <c r="A136" s="17" t="s">
        <v>282</v>
      </c>
      <c r="B136" s="19">
        <v>46042</v>
      </c>
      <c r="C136" s="20">
        <f t="shared" si="4"/>
        <v>46023</v>
      </c>
      <c r="D136" s="17" t="s">
        <v>283</v>
      </c>
      <c r="E136" s="17" t="s">
        <v>24</v>
      </c>
      <c r="F136" s="17" t="s">
        <v>31</v>
      </c>
      <c r="G136" s="21">
        <v>1</v>
      </c>
      <c r="H136" s="12">
        <v>35.950000000000003</v>
      </c>
      <c r="I136" s="22">
        <v>0</v>
      </c>
      <c r="J136" s="12">
        <f t="shared" si="5"/>
        <v>35.950000000000003</v>
      </c>
      <c r="K136" s="17" t="s">
        <v>48</v>
      </c>
    </row>
    <row r="137" spans="1:11" x14ac:dyDescent="0.25">
      <c r="A137" s="17" t="s">
        <v>284</v>
      </c>
      <c r="B137" s="19">
        <v>46042</v>
      </c>
      <c r="C137" s="20">
        <f t="shared" si="4"/>
        <v>46023</v>
      </c>
      <c r="D137" s="17" t="s">
        <v>285</v>
      </c>
      <c r="E137" s="17" t="s">
        <v>23</v>
      </c>
      <c r="F137" s="17" t="s">
        <v>31</v>
      </c>
      <c r="G137" s="21">
        <v>4</v>
      </c>
      <c r="H137" s="12">
        <v>58.52</v>
      </c>
      <c r="I137" s="22">
        <v>0</v>
      </c>
      <c r="J137" s="12">
        <f t="shared" si="5"/>
        <v>234.08</v>
      </c>
      <c r="K137" s="17" t="s">
        <v>48</v>
      </c>
    </row>
    <row r="138" spans="1:11" x14ac:dyDescent="0.25">
      <c r="A138" s="17" t="s">
        <v>286</v>
      </c>
      <c r="B138" s="19">
        <v>46043</v>
      </c>
      <c r="C138" s="20">
        <f t="shared" si="4"/>
        <v>46023</v>
      </c>
      <c r="D138" s="17" t="s">
        <v>287</v>
      </c>
      <c r="E138" s="17" t="s">
        <v>23</v>
      </c>
      <c r="F138" s="17" t="s">
        <v>30</v>
      </c>
      <c r="G138" s="21">
        <v>1</v>
      </c>
      <c r="H138" s="12">
        <v>59.41</v>
      </c>
      <c r="I138" s="22">
        <v>0</v>
      </c>
      <c r="J138" s="12">
        <f t="shared" si="5"/>
        <v>59.41</v>
      </c>
      <c r="K138" s="17" t="s">
        <v>59</v>
      </c>
    </row>
    <row r="139" spans="1:11" x14ac:dyDescent="0.25">
      <c r="A139" s="17" t="s">
        <v>288</v>
      </c>
      <c r="B139" s="19">
        <v>46043</v>
      </c>
      <c r="C139" s="20">
        <f t="shared" si="4"/>
        <v>46023</v>
      </c>
      <c r="D139" s="17" t="s">
        <v>289</v>
      </c>
      <c r="E139" s="17" t="s">
        <v>16</v>
      </c>
      <c r="F139" s="17" t="s">
        <v>30</v>
      </c>
      <c r="G139" s="21">
        <v>3</v>
      </c>
      <c r="H139" s="12">
        <v>251.05</v>
      </c>
      <c r="I139" s="22">
        <v>0.05</v>
      </c>
      <c r="J139" s="12">
        <f t="shared" si="5"/>
        <v>715.49</v>
      </c>
      <c r="K139" s="17" t="s">
        <v>43</v>
      </c>
    </row>
    <row r="140" spans="1:11" x14ac:dyDescent="0.25">
      <c r="A140" s="17" t="s">
        <v>290</v>
      </c>
      <c r="B140" s="19">
        <v>46043</v>
      </c>
      <c r="C140" s="20">
        <f t="shared" si="4"/>
        <v>46023</v>
      </c>
      <c r="D140" s="17" t="s">
        <v>139</v>
      </c>
      <c r="E140" s="17" t="s">
        <v>20</v>
      </c>
      <c r="F140" s="17" t="s">
        <v>30</v>
      </c>
      <c r="G140" s="21">
        <v>1</v>
      </c>
      <c r="H140" s="12">
        <v>87.14</v>
      </c>
      <c r="I140" s="22">
        <v>0.1</v>
      </c>
      <c r="J140" s="12">
        <f t="shared" si="5"/>
        <v>78.430000000000007</v>
      </c>
      <c r="K140" s="17" t="s">
        <v>43</v>
      </c>
    </row>
    <row r="141" spans="1:11" x14ac:dyDescent="0.25">
      <c r="A141" s="17" t="s">
        <v>291</v>
      </c>
      <c r="B141" s="19">
        <v>46043</v>
      </c>
      <c r="C141" s="20">
        <f t="shared" si="4"/>
        <v>46023</v>
      </c>
      <c r="D141" s="17" t="s">
        <v>197</v>
      </c>
      <c r="E141" s="17" t="s">
        <v>19</v>
      </c>
      <c r="F141" s="17" t="s">
        <v>30</v>
      </c>
      <c r="G141" s="21">
        <v>1</v>
      </c>
      <c r="H141" s="12">
        <v>125.9</v>
      </c>
      <c r="I141" s="22">
        <v>0</v>
      </c>
      <c r="J141" s="12">
        <f t="shared" si="5"/>
        <v>125.9</v>
      </c>
      <c r="K141" s="17" t="s">
        <v>43</v>
      </c>
    </row>
    <row r="142" spans="1:11" x14ac:dyDescent="0.25">
      <c r="A142" s="17" t="s">
        <v>292</v>
      </c>
      <c r="B142" s="19">
        <v>46043</v>
      </c>
      <c r="C142" s="20">
        <f t="shared" si="4"/>
        <v>46023</v>
      </c>
      <c r="D142" s="17" t="s">
        <v>293</v>
      </c>
      <c r="E142" s="17" t="s">
        <v>17</v>
      </c>
      <c r="F142" s="17" t="s">
        <v>31</v>
      </c>
      <c r="G142" s="21">
        <v>2</v>
      </c>
      <c r="H142" s="12">
        <v>223.37</v>
      </c>
      <c r="I142" s="22">
        <v>0.05</v>
      </c>
      <c r="J142" s="12">
        <f t="shared" si="5"/>
        <v>424.4</v>
      </c>
      <c r="K142" s="17" t="s">
        <v>48</v>
      </c>
    </row>
    <row r="143" spans="1:11" x14ac:dyDescent="0.25">
      <c r="A143" s="17" t="s">
        <v>294</v>
      </c>
      <c r="B143" s="19">
        <v>46043</v>
      </c>
      <c r="C143" s="20">
        <f t="shared" si="4"/>
        <v>46023</v>
      </c>
      <c r="D143" s="17" t="s">
        <v>295</v>
      </c>
      <c r="E143" s="17" t="s">
        <v>21</v>
      </c>
      <c r="F143" s="17" t="s">
        <v>31</v>
      </c>
      <c r="G143" s="21">
        <v>2</v>
      </c>
      <c r="H143" s="12">
        <v>80.67</v>
      </c>
      <c r="I143" s="22">
        <v>0.05</v>
      </c>
      <c r="J143" s="12">
        <f t="shared" si="5"/>
        <v>153.27000000000001</v>
      </c>
      <c r="K143" s="17" t="s">
        <v>48</v>
      </c>
    </row>
    <row r="144" spans="1:11" x14ac:dyDescent="0.25">
      <c r="A144" s="17" t="s">
        <v>296</v>
      </c>
      <c r="B144" s="19">
        <v>46044</v>
      </c>
      <c r="C144" s="20">
        <f t="shared" si="4"/>
        <v>46023</v>
      </c>
      <c r="D144" s="17" t="s">
        <v>297</v>
      </c>
      <c r="E144" s="17" t="s">
        <v>17</v>
      </c>
      <c r="F144" s="17" t="s">
        <v>30</v>
      </c>
      <c r="G144" s="21">
        <v>4</v>
      </c>
      <c r="H144" s="12">
        <v>222.47</v>
      </c>
      <c r="I144" s="22">
        <v>0.15</v>
      </c>
      <c r="J144" s="12">
        <f t="shared" si="5"/>
        <v>756.4</v>
      </c>
      <c r="K144" s="17" t="s">
        <v>59</v>
      </c>
    </row>
    <row r="145" spans="1:11" x14ac:dyDescent="0.25">
      <c r="A145" s="17" t="s">
        <v>298</v>
      </c>
      <c r="B145" s="19">
        <v>46044</v>
      </c>
      <c r="C145" s="20">
        <f t="shared" si="4"/>
        <v>46023</v>
      </c>
      <c r="D145" s="17" t="s">
        <v>278</v>
      </c>
      <c r="E145" s="17" t="s">
        <v>25</v>
      </c>
      <c r="F145" s="17" t="s">
        <v>30</v>
      </c>
      <c r="G145" s="21">
        <v>2</v>
      </c>
      <c r="H145" s="12">
        <v>30.63</v>
      </c>
      <c r="I145" s="22">
        <v>0</v>
      </c>
      <c r="J145" s="12">
        <f t="shared" si="5"/>
        <v>61.26</v>
      </c>
      <c r="K145" s="17" t="s">
        <v>59</v>
      </c>
    </row>
    <row r="146" spans="1:11" x14ac:dyDescent="0.25">
      <c r="A146" s="17" t="s">
        <v>299</v>
      </c>
      <c r="B146" s="19">
        <v>46044</v>
      </c>
      <c r="C146" s="20">
        <f t="shared" si="4"/>
        <v>46023</v>
      </c>
      <c r="D146" s="17" t="s">
        <v>80</v>
      </c>
      <c r="E146" s="17" t="s">
        <v>18</v>
      </c>
      <c r="F146" s="17" t="s">
        <v>30</v>
      </c>
      <c r="G146" s="21">
        <v>1</v>
      </c>
      <c r="H146" s="12">
        <v>149.51</v>
      </c>
      <c r="I146" s="22">
        <v>0.15</v>
      </c>
      <c r="J146" s="12">
        <f t="shared" si="5"/>
        <v>127.08</v>
      </c>
      <c r="K146" s="17" t="s">
        <v>59</v>
      </c>
    </row>
    <row r="147" spans="1:11" x14ac:dyDescent="0.25">
      <c r="A147" s="17" t="s">
        <v>300</v>
      </c>
      <c r="B147" s="19">
        <v>46044</v>
      </c>
      <c r="C147" s="20">
        <f t="shared" si="4"/>
        <v>46023</v>
      </c>
      <c r="D147" s="17" t="s">
        <v>301</v>
      </c>
      <c r="E147" s="17" t="s">
        <v>24</v>
      </c>
      <c r="F147" s="17" t="s">
        <v>30</v>
      </c>
      <c r="G147" s="21">
        <v>1</v>
      </c>
      <c r="H147" s="12">
        <v>34.86</v>
      </c>
      <c r="I147" s="22">
        <v>0.1</v>
      </c>
      <c r="J147" s="12">
        <f t="shared" si="5"/>
        <v>31.37</v>
      </c>
      <c r="K147" s="17" t="s">
        <v>59</v>
      </c>
    </row>
    <row r="148" spans="1:11" x14ac:dyDescent="0.25">
      <c r="A148" s="17" t="s">
        <v>302</v>
      </c>
      <c r="B148" s="19">
        <v>46044</v>
      </c>
      <c r="C148" s="20">
        <f t="shared" si="4"/>
        <v>46023</v>
      </c>
      <c r="D148" s="17" t="s">
        <v>137</v>
      </c>
      <c r="E148" s="17" t="s">
        <v>17</v>
      </c>
      <c r="F148" s="17" t="s">
        <v>30</v>
      </c>
      <c r="G148" s="21">
        <v>3</v>
      </c>
      <c r="H148" s="12">
        <v>213.5</v>
      </c>
      <c r="I148" s="22">
        <v>0</v>
      </c>
      <c r="J148" s="12">
        <f t="shared" si="5"/>
        <v>640.5</v>
      </c>
      <c r="K148" s="17" t="s">
        <v>43</v>
      </c>
    </row>
    <row r="149" spans="1:11" x14ac:dyDescent="0.25">
      <c r="A149" s="17" t="s">
        <v>303</v>
      </c>
      <c r="B149" s="19">
        <v>46044</v>
      </c>
      <c r="C149" s="20">
        <f t="shared" si="4"/>
        <v>46023</v>
      </c>
      <c r="D149" s="17" t="s">
        <v>304</v>
      </c>
      <c r="E149" s="17" t="s">
        <v>16</v>
      </c>
      <c r="F149" s="17" t="s">
        <v>31</v>
      </c>
      <c r="G149" s="21">
        <v>2</v>
      </c>
      <c r="H149" s="12">
        <v>247.66</v>
      </c>
      <c r="I149" s="22">
        <v>0</v>
      </c>
      <c r="J149" s="12">
        <f t="shared" si="5"/>
        <v>495.32</v>
      </c>
      <c r="K149" s="17" t="s">
        <v>48</v>
      </c>
    </row>
    <row r="150" spans="1:11" x14ac:dyDescent="0.25">
      <c r="A150" s="17" t="s">
        <v>305</v>
      </c>
      <c r="B150" s="19">
        <v>46044</v>
      </c>
      <c r="C150" s="20">
        <f t="shared" si="4"/>
        <v>46023</v>
      </c>
      <c r="D150" s="17" t="s">
        <v>306</v>
      </c>
      <c r="E150" s="17" t="s">
        <v>18</v>
      </c>
      <c r="F150" s="17" t="s">
        <v>31</v>
      </c>
      <c r="G150" s="21">
        <v>4</v>
      </c>
      <c r="H150" s="12">
        <v>150.16999999999999</v>
      </c>
      <c r="I150" s="22">
        <v>0.15</v>
      </c>
      <c r="J150" s="12">
        <f t="shared" si="5"/>
        <v>510.58</v>
      </c>
      <c r="K150" s="17" t="s">
        <v>48</v>
      </c>
    </row>
    <row r="151" spans="1:11" x14ac:dyDescent="0.25">
      <c r="A151" s="17" t="s">
        <v>307</v>
      </c>
      <c r="B151" s="19">
        <v>46044</v>
      </c>
      <c r="C151" s="20">
        <f t="shared" si="4"/>
        <v>46023</v>
      </c>
      <c r="D151" s="17" t="s">
        <v>308</v>
      </c>
      <c r="E151" s="17" t="s">
        <v>19</v>
      </c>
      <c r="F151" s="17" t="s">
        <v>31</v>
      </c>
      <c r="G151" s="21">
        <v>1</v>
      </c>
      <c r="H151" s="12">
        <v>125.59</v>
      </c>
      <c r="I151" s="22">
        <v>0</v>
      </c>
      <c r="J151" s="12">
        <f t="shared" si="5"/>
        <v>125.59</v>
      </c>
      <c r="K151" s="17" t="s">
        <v>48</v>
      </c>
    </row>
    <row r="152" spans="1:11" x14ac:dyDescent="0.25">
      <c r="A152" s="17" t="s">
        <v>309</v>
      </c>
      <c r="B152" s="19">
        <v>46045</v>
      </c>
      <c r="C152" s="20">
        <f t="shared" si="4"/>
        <v>46023</v>
      </c>
      <c r="D152" s="17" t="s">
        <v>310</v>
      </c>
      <c r="E152" s="17" t="s">
        <v>18</v>
      </c>
      <c r="F152" s="17" t="s">
        <v>30</v>
      </c>
      <c r="G152" s="21">
        <v>2</v>
      </c>
      <c r="H152" s="12">
        <v>147.86000000000001</v>
      </c>
      <c r="I152" s="22">
        <v>0.05</v>
      </c>
      <c r="J152" s="12">
        <f t="shared" si="5"/>
        <v>280.93</v>
      </c>
      <c r="K152" s="17" t="s">
        <v>59</v>
      </c>
    </row>
    <row r="153" spans="1:11" x14ac:dyDescent="0.25">
      <c r="A153" s="17" t="s">
        <v>311</v>
      </c>
      <c r="B153" s="19">
        <v>46045</v>
      </c>
      <c r="C153" s="20">
        <f t="shared" si="4"/>
        <v>46023</v>
      </c>
      <c r="D153" s="17" t="s">
        <v>312</v>
      </c>
      <c r="E153" s="17" t="s">
        <v>18</v>
      </c>
      <c r="F153" s="17" t="s">
        <v>30</v>
      </c>
      <c r="G153" s="21">
        <v>4</v>
      </c>
      <c r="H153" s="12">
        <v>150.03</v>
      </c>
      <c r="I153" s="22">
        <v>0</v>
      </c>
      <c r="J153" s="12">
        <f t="shared" si="5"/>
        <v>600.12</v>
      </c>
      <c r="K153" s="17" t="s">
        <v>59</v>
      </c>
    </row>
    <row r="154" spans="1:11" x14ac:dyDescent="0.25">
      <c r="A154" s="17" t="s">
        <v>313</v>
      </c>
      <c r="B154" s="19">
        <v>46045</v>
      </c>
      <c r="C154" s="20">
        <f t="shared" si="4"/>
        <v>46023</v>
      </c>
      <c r="D154" s="17" t="s">
        <v>314</v>
      </c>
      <c r="E154" s="17" t="s">
        <v>18</v>
      </c>
      <c r="F154" s="17" t="s">
        <v>30</v>
      </c>
      <c r="G154" s="21">
        <v>3</v>
      </c>
      <c r="H154" s="12">
        <v>146.37</v>
      </c>
      <c r="I154" s="22">
        <v>0</v>
      </c>
      <c r="J154" s="12">
        <f t="shared" si="5"/>
        <v>439.11</v>
      </c>
      <c r="K154" s="17" t="s">
        <v>59</v>
      </c>
    </row>
    <row r="155" spans="1:11" x14ac:dyDescent="0.25">
      <c r="A155" s="17" t="s">
        <v>315</v>
      </c>
      <c r="B155" s="19">
        <v>46045</v>
      </c>
      <c r="C155" s="20">
        <f t="shared" si="4"/>
        <v>46023</v>
      </c>
      <c r="D155" s="17" t="s">
        <v>223</v>
      </c>
      <c r="E155" s="17" t="s">
        <v>24</v>
      </c>
      <c r="F155" s="17" t="s">
        <v>30</v>
      </c>
      <c r="G155" s="21">
        <v>1</v>
      </c>
      <c r="H155" s="12">
        <v>35.659999999999997</v>
      </c>
      <c r="I155" s="22">
        <v>0.05</v>
      </c>
      <c r="J155" s="12">
        <f t="shared" si="5"/>
        <v>33.880000000000003</v>
      </c>
      <c r="K155" s="17" t="s">
        <v>59</v>
      </c>
    </row>
    <row r="156" spans="1:11" x14ac:dyDescent="0.25">
      <c r="A156" s="17" t="s">
        <v>316</v>
      </c>
      <c r="B156" s="19">
        <v>46045</v>
      </c>
      <c r="C156" s="20">
        <f t="shared" si="4"/>
        <v>46023</v>
      </c>
      <c r="D156" s="17" t="s">
        <v>97</v>
      </c>
      <c r="E156" s="17" t="s">
        <v>24</v>
      </c>
      <c r="F156" s="17" t="s">
        <v>31</v>
      </c>
      <c r="G156" s="21">
        <v>1</v>
      </c>
      <c r="H156" s="12">
        <v>34.47</v>
      </c>
      <c r="I156" s="22">
        <v>0</v>
      </c>
      <c r="J156" s="12">
        <f t="shared" si="5"/>
        <v>34.47</v>
      </c>
      <c r="K156" s="17" t="s">
        <v>48</v>
      </c>
    </row>
    <row r="157" spans="1:11" x14ac:dyDescent="0.25">
      <c r="A157" s="17" t="s">
        <v>317</v>
      </c>
      <c r="B157" s="19">
        <v>46046</v>
      </c>
      <c r="C157" s="20">
        <f t="shared" si="4"/>
        <v>46023</v>
      </c>
      <c r="D157" s="17" t="s">
        <v>318</v>
      </c>
      <c r="E157" s="17" t="s">
        <v>23</v>
      </c>
      <c r="F157" s="17" t="s">
        <v>30</v>
      </c>
      <c r="G157" s="21">
        <v>3</v>
      </c>
      <c r="H157" s="12">
        <v>59.19</v>
      </c>
      <c r="I157" s="22">
        <v>0.05</v>
      </c>
      <c r="J157" s="12">
        <f t="shared" si="5"/>
        <v>168.69</v>
      </c>
      <c r="K157" s="17" t="s">
        <v>59</v>
      </c>
    </row>
    <row r="158" spans="1:11" x14ac:dyDescent="0.25">
      <c r="A158" s="17" t="s">
        <v>319</v>
      </c>
      <c r="B158" s="19">
        <v>46046</v>
      </c>
      <c r="C158" s="20">
        <f t="shared" si="4"/>
        <v>46023</v>
      </c>
      <c r="D158" s="17" t="s">
        <v>320</v>
      </c>
      <c r="E158" s="17" t="s">
        <v>19</v>
      </c>
      <c r="F158" s="17" t="s">
        <v>30</v>
      </c>
      <c r="G158" s="21">
        <v>3</v>
      </c>
      <c r="H158" s="12">
        <v>127.13</v>
      </c>
      <c r="I158" s="22">
        <v>0.1</v>
      </c>
      <c r="J158" s="12">
        <f t="shared" si="5"/>
        <v>343.25</v>
      </c>
      <c r="K158" s="17" t="s">
        <v>59</v>
      </c>
    </row>
    <row r="159" spans="1:11" x14ac:dyDescent="0.25">
      <c r="A159" s="17" t="s">
        <v>321</v>
      </c>
      <c r="B159" s="19">
        <v>46046</v>
      </c>
      <c r="C159" s="20">
        <f t="shared" si="4"/>
        <v>46023</v>
      </c>
      <c r="D159" s="17" t="s">
        <v>322</v>
      </c>
      <c r="E159" s="17" t="s">
        <v>26</v>
      </c>
      <c r="F159" s="17" t="s">
        <v>30</v>
      </c>
      <c r="G159" s="21">
        <v>5</v>
      </c>
      <c r="H159" s="12">
        <v>24.9</v>
      </c>
      <c r="I159" s="22">
        <v>0</v>
      </c>
      <c r="J159" s="12">
        <f t="shared" si="5"/>
        <v>124.5</v>
      </c>
      <c r="K159" s="17" t="s">
        <v>59</v>
      </c>
    </row>
    <row r="160" spans="1:11" x14ac:dyDescent="0.25">
      <c r="A160" s="17" t="s">
        <v>323</v>
      </c>
      <c r="B160" s="19">
        <v>46046</v>
      </c>
      <c r="C160" s="20">
        <f t="shared" si="4"/>
        <v>46023</v>
      </c>
      <c r="D160" s="17" t="s">
        <v>324</v>
      </c>
      <c r="E160" s="17" t="s">
        <v>23</v>
      </c>
      <c r="F160" s="17" t="s">
        <v>30</v>
      </c>
      <c r="G160" s="21">
        <v>1</v>
      </c>
      <c r="H160" s="12">
        <v>57.37</v>
      </c>
      <c r="I160" s="22">
        <v>0</v>
      </c>
      <c r="J160" s="12">
        <f t="shared" si="5"/>
        <v>57.37</v>
      </c>
      <c r="K160" s="17" t="s">
        <v>59</v>
      </c>
    </row>
    <row r="161" spans="1:11" x14ac:dyDescent="0.25">
      <c r="A161" s="17" t="s">
        <v>325</v>
      </c>
      <c r="B161" s="19">
        <v>46046</v>
      </c>
      <c r="C161" s="20">
        <f t="shared" si="4"/>
        <v>46023</v>
      </c>
      <c r="D161" s="17" t="s">
        <v>61</v>
      </c>
      <c r="E161" s="17" t="s">
        <v>21</v>
      </c>
      <c r="F161" s="17" t="s">
        <v>30</v>
      </c>
      <c r="G161" s="21">
        <v>5</v>
      </c>
      <c r="H161" s="12">
        <v>77.260000000000005</v>
      </c>
      <c r="I161" s="22">
        <v>0.15</v>
      </c>
      <c r="J161" s="12">
        <f t="shared" si="5"/>
        <v>328.36</v>
      </c>
      <c r="K161" s="17" t="s">
        <v>59</v>
      </c>
    </row>
    <row r="162" spans="1:11" x14ac:dyDescent="0.25">
      <c r="A162" s="17" t="s">
        <v>326</v>
      </c>
      <c r="B162" s="19">
        <v>46046</v>
      </c>
      <c r="C162" s="20">
        <f t="shared" si="4"/>
        <v>46023</v>
      </c>
      <c r="D162" s="17" t="s">
        <v>327</v>
      </c>
      <c r="E162" s="17" t="s">
        <v>18</v>
      </c>
      <c r="F162" s="17" t="s">
        <v>30</v>
      </c>
      <c r="G162" s="21">
        <v>1</v>
      </c>
      <c r="H162" s="12">
        <v>145.75</v>
      </c>
      <c r="I162" s="22">
        <v>0.15</v>
      </c>
      <c r="J162" s="12">
        <f t="shared" si="5"/>
        <v>123.89</v>
      </c>
      <c r="K162" s="17" t="s">
        <v>59</v>
      </c>
    </row>
    <row r="163" spans="1:11" x14ac:dyDescent="0.25">
      <c r="A163" s="17" t="s">
        <v>328</v>
      </c>
      <c r="B163" s="19">
        <v>46046</v>
      </c>
      <c r="C163" s="20">
        <f t="shared" si="4"/>
        <v>46023</v>
      </c>
      <c r="D163" s="17" t="s">
        <v>244</v>
      </c>
      <c r="E163" s="17" t="s">
        <v>16</v>
      </c>
      <c r="F163" s="17" t="s">
        <v>30</v>
      </c>
      <c r="G163" s="21">
        <v>3</v>
      </c>
      <c r="H163" s="12">
        <v>244.34</v>
      </c>
      <c r="I163" s="22">
        <v>0</v>
      </c>
      <c r="J163" s="12">
        <f t="shared" si="5"/>
        <v>733.02</v>
      </c>
      <c r="K163" s="17" t="s">
        <v>43</v>
      </c>
    </row>
    <row r="164" spans="1:11" x14ac:dyDescent="0.25">
      <c r="A164" s="17" t="s">
        <v>329</v>
      </c>
      <c r="B164" s="19">
        <v>46046</v>
      </c>
      <c r="C164" s="20">
        <f t="shared" si="4"/>
        <v>46023</v>
      </c>
      <c r="D164" s="17" t="s">
        <v>221</v>
      </c>
      <c r="E164" s="17" t="s">
        <v>23</v>
      </c>
      <c r="F164" s="17" t="s">
        <v>30</v>
      </c>
      <c r="G164" s="21">
        <v>1</v>
      </c>
      <c r="H164" s="12">
        <v>59.07</v>
      </c>
      <c r="I164" s="22">
        <v>0.15</v>
      </c>
      <c r="J164" s="12">
        <f t="shared" si="5"/>
        <v>50.21</v>
      </c>
      <c r="K164" s="17" t="s">
        <v>43</v>
      </c>
    </row>
    <row r="165" spans="1:11" x14ac:dyDescent="0.25">
      <c r="A165" s="17" t="s">
        <v>330</v>
      </c>
      <c r="B165" s="19">
        <v>46046</v>
      </c>
      <c r="C165" s="20">
        <f t="shared" si="4"/>
        <v>46023</v>
      </c>
      <c r="D165" s="17" t="s">
        <v>131</v>
      </c>
      <c r="E165" s="17" t="s">
        <v>16</v>
      </c>
      <c r="F165" s="17" t="s">
        <v>31</v>
      </c>
      <c r="G165" s="21">
        <v>2</v>
      </c>
      <c r="H165" s="12">
        <v>247.14</v>
      </c>
      <c r="I165" s="22">
        <v>0.05</v>
      </c>
      <c r="J165" s="12">
        <f t="shared" si="5"/>
        <v>469.57</v>
      </c>
      <c r="K165" s="17" t="s">
        <v>48</v>
      </c>
    </row>
    <row r="166" spans="1:11" x14ac:dyDescent="0.25">
      <c r="A166" s="17" t="s">
        <v>331</v>
      </c>
      <c r="B166" s="19">
        <v>46046</v>
      </c>
      <c r="C166" s="20">
        <f t="shared" si="4"/>
        <v>46023</v>
      </c>
      <c r="D166" s="17" t="s">
        <v>194</v>
      </c>
      <c r="E166" s="17" t="s">
        <v>25</v>
      </c>
      <c r="F166" s="17" t="s">
        <v>31</v>
      </c>
      <c r="G166" s="21">
        <v>1</v>
      </c>
      <c r="H166" s="12">
        <v>29.55</v>
      </c>
      <c r="I166" s="22">
        <v>0.1</v>
      </c>
      <c r="J166" s="12">
        <f t="shared" si="5"/>
        <v>26.6</v>
      </c>
      <c r="K166" s="17" t="s">
        <v>48</v>
      </c>
    </row>
    <row r="167" spans="1:11" x14ac:dyDescent="0.25">
      <c r="A167" s="17" t="s">
        <v>332</v>
      </c>
      <c r="B167" s="19">
        <v>46047</v>
      </c>
      <c r="C167" s="20">
        <f t="shared" si="4"/>
        <v>46023</v>
      </c>
      <c r="D167" s="17" t="s">
        <v>333</v>
      </c>
      <c r="E167" s="17" t="s">
        <v>17</v>
      </c>
      <c r="F167" s="17" t="s">
        <v>30</v>
      </c>
      <c r="G167" s="21">
        <v>1</v>
      </c>
      <c r="H167" s="12">
        <v>225.44</v>
      </c>
      <c r="I167" s="22">
        <v>0</v>
      </c>
      <c r="J167" s="12">
        <f t="shared" si="5"/>
        <v>225.44</v>
      </c>
      <c r="K167" s="17" t="s">
        <v>59</v>
      </c>
    </row>
    <row r="168" spans="1:11" x14ac:dyDescent="0.25">
      <c r="A168" s="17" t="s">
        <v>334</v>
      </c>
      <c r="B168" s="19">
        <v>46047</v>
      </c>
      <c r="C168" s="20">
        <f t="shared" si="4"/>
        <v>46023</v>
      </c>
      <c r="D168" s="17" t="s">
        <v>78</v>
      </c>
      <c r="E168" s="17" t="s">
        <v>17</v>
      </c>
      <c r="F168" s="17" t="s">
        <v>30</v>
      </c>
      <c r="G168" s="21">
        <v>4</v>
      </c>
      <c r="H168" s="12">
        <v>224.21</v>
      </c>
      <c r="I168" s="22">
        <v>0</v>
      </c>
      <c r="J168" s="12">
        <f t="shared" si="5"/>
        <v>896.84</v>
      </c>
      <c r="K168" s="17" t="s">
        <v>59</v>
      </c>
    </row>
    <row r="169" spans="1:11" x14ac:dyDescent="0.25">
      <c r="A169" s="17" t="s">
        <v>335</v>
      </c>
      <c r="B169" s="19">
        <v>46047</v>
      </c>
      <c r="C169" s="20">
        <f t="shared" si="4"/>
        <v>46023</v>
      </c>
      <c r="D169" s="17" t="s">
        <v>52</v>
      </c>
      <c r="E169" s="17" t="s">
        <v>16</v>
      </c>
      <c r="F169" s="17" t="s">
        <v>30</v>
      </c>
      <c r="G169" s="21">
        <v>1</v>
      </c>
      <c r="H169" s="12">
        <v>251.32</v>
      </c>
      <c r="I169" s="22">
        <v>0.1</v>
      </c>
      <c r="J169" s="12">
        <f t="shared" si="5"/>
        <v>226.19</v>
      </c>
      <c r="K169" s="17" t="s">
        <v>43</v>
      </c>
    </row>
    <row r="170" spans="1:11" x14ac:dyDescent="0.25">
      <c r="A170" s="17" t="s">
        <v>336</v>
      </c>
      <c r="B170" s="19">
        <v>46047</v>
      </c>
      <c r="C170" s="20">
        <f t="shared" si="4"/>
        <v>46023</v>
      </c>
      <c r="D170" s="17" t="s">
        <v>310</v>
      </c>
      <c r="E170" s="17" t="s">
        <v>23</v>
      </c>
      <c r="F170" s="17" t="s">
        <v>31</v>
      </c>
      <c r="G170" s="21">
        <v>2</v>
      </c>
      <c r="H170" s="12">
        <v>57.99</v>
      </c>
      <c r="I170" s="22">
        <v>0.15</v>
      </c>
      <c r="J170" s="12">
        <f t="shared" si="5"/>
        <v>98.58</v>
      </c>
      <c r="K170" s="17" t="s">
        <v>48</v>
      </c>
    </row>
    <row r="171" spans="1:11" x14ac:dyDescent="0.25">
      <c r="A171" s="17" t="s">
        <v>337</v>
      </c>
      <c r="B171" s="19">
        <v>46047</v>
      </c>
      <c r="C171" s="20">
        <f t="shared" si="4"/>
        <v>46023</v>
      </c>
      <c r="D171" s="17" t="s">
        <v>221</v>
      </c>
      <c r="E171" s="17" t="s">
        <v>25</v>
      </c>
      <c r="F171" s="17" t="s">
        <v>31</v>
      </c>
      <c r="G171" s="21">
        <v>1</v>
      </c>
      <c r="H171" s="12">
        <v>29.95</v>
      </c>
      <c r="I171" s="22">
        <v>0.15</v>
      </c>
      <c r="J171" s="12">
        <f t="shared" si="5"/>
        <v>25.46</v>
      </c>
      <c r="K171" s="17" t="s">
        <v>48</v>
      </c>
    </row>
    <row r="172" spans="1:11" x14ac:dyDescent="0.25">
      <c r="A172" s="17" t="s">
        <v>338</v>
      </c>
      <c r="B172" s="19">
        <v>46048</v>
      </c>
      <c r="C172" s="20">
        <f t="shared" si="4"/>
        <v>46023</v>
      </c>
      <c r="D172" s="17" t="s">
        <v>339</v>
      </c>
      <c r="E172" s="17" t="s">
        <v>27</v>
      </c>
      <c r="F172" s="17" t="s">
        <v>30</v>
      </c>
      <c r="G172" s="21">
        <v>1</v>
      </c>
      <c r="H172" s="12">
        <v>13.19</v>
      </c>
      <c r="I172" s="22">
        <v>0</v>
      </c>
      <c r="J172" s="12">
        <f t="shared" si="5"/>
        <v>13.19</v>
      </c>
      <c r="K172" s="17" t="s">
        <v>59</v>
      </c>
    </row>
    <row r="173" spans="1:11" x14ac:dyDescent="0.25">
      <c r="A173" s="17" t="s">
        <v>340</v>
      </c>
      <c r="B173" s="19">
        <v>46048</v>
      </c>
      <c r="C173" s="20">
        <f t="shared" si="4"/>
        <v>46023</v>
      </c>
      <c r="D173" s="17" t="s">
        <v>235</v>
      </c>
      <c r="E173" s="17" t="s">
        <v>24</v>
      </c>
      <c r="F173" s="17" t="s">
        <v>30</v>
      </c>
      <c r="G173" s="21">
        <v>2</v>
      </c>
      <c r="H173" s="12">
        <v>34.61</v>
      </c>
      <c r="I173" s="22">
        <v>0</v>
      </c>
      <c r="J173" s="12">
        <f t="shared" si="5"/>
        <v>69.22</v>
      </c>
      <c r="K173" s="17" t="s">
        <v>43</v>
      </c>
    </row>
    <row r="174" spans="1:11" x14ac:dyDescent="0.25">
      <c r="A174" s="17" t="s">
        <v>341</v>
      </c>
      <c r="B174" s="19">
        <v>46048</v>
      </c>
      <c r="C174" s="20">
        <f t="shared" si="4"/>
        <v>46023</v>
      </c>
      <c r="D174" s="17" t="s">
        <v>342</v>
      </c>
      <c r="E174" s="17" t="s">
        <v>17</v>
      </c>
      <c r="F174" s="17" t="s">
        <v>31</v>
      </c>
      <c r="G174" s="21">
        <v>3</v>
      </c>
      <c r="H174" s="12">
        <v>221.39</v>
      </c>
      <c r="I174" s="22">
        <v>0.15</v>
      </c>
      <c r="J174" s="12">
        <f t="shared" si="5"/>
        <v>564.54</v>
      </c>
      <c r="K174" s="17" t="s">
        <v>48</v>
      </c>
    </row>
    <row r="175" spans="1:11" x14ac:dyDescent="0.25">
      <c r="A175" s="17" t="s">
        <v>343</v>
      </c>
      <c r="B175" s="19">
        <v>46048</v>
      </c>
      <c r="C175" s="20">
        <f t="shared" si="4"/>
        <v>46023</v>
      </c>
      <c r="D175" s="17" t="s">
        <v>344</v>
      </c>
      <c r="E175" s="17" t="s">
        <v>24</v>
      </c>
      <c r="F175" s="17" t="s">
        <v>31</v>
      </c>
      <c r="G175" s="21">
        <v>2</v>
      </c>
      <c r="H175" s="12">
        <v>34.04</v>
      </c>
      <c r="I175" s="22">
        <v>0.05</v>
      </c>
      <c r="J175" s="12">
        <f t="shared" si="5"/>
        <v>64.680000000000007</v>
      </c>
      <c r="K175" s="17" t="s">
        <v>48</v>
      </c>
    </row>
    <row r="176" spans="1:11" x14ac:dyDescent="0.25">
      <c r="A176" s="17" t="s">
        <v>345</v>
      </c>
      <c r="B176" s="19">
        <v>46048</v>
      </c>
      <c r="C176" s="20">
        <f t="shared" si="4"/>
        <v>46023</v>
      </c>
      <c r="D176" s="17" t="s">
        <v>346</v>
      </c>
      <c r="E176" s="17" t="s">
        <v>25</v>
      </c>
      <c r="F176" s="17" t="s">
        <v>31</v>
      </c>
      <c r="G176" s="21">
        <v>5</v>
      </c>
      <c r="H176" s="12">
        <v>29.55</v>
      </c>
      <c r="I176" s="22">
        <v>0</v>
      </c>
      <c r="J176" s="12">
        <f t="shared" si="5"/>
        <v>147.75</v>
      </c>
      <c r="K176" s="17" t="s">
        <v>48</v>
      </c>
    </row>
    <row r="177" spans="1:11" x14ac:dyDescent="0.25">
      <c r="A177" s="17" t="s">
        <v>347</v>
      </c>
      <c r="B177" s="19">
        <v>46048</v>
      </c>
      <c r="C177" s="20">
        <f t="shared" si="4"/>
        <v>46023</v>
      </c>
      <c r="D177" s="17" t="s">
        <v>78</v>
      </c>
      <c r="E177" s="17" t="s">
        <v>20</v>
      </c>
      <c r="F177" s="17" t="s">
        <v>31</v>
      </c>
      <c r="G177" s="21">
        <v>5</v>
      </c>
      <c r="H177" s="12">
        <v>86.94</v>
      </c>
      <c r="I177" s="22">
        <v>0</v>
      </c>
      <c r="J177" s="12">
        <f t="shared" si="5"/>
        <v>434.7</v>
      </c>
      <c r="K177" s="17" t="s">
        <v>48</v>
      </c>
    </row>
    <row r="178" spans="1:11" x14ac:dyDescent="0.25">
      <c r="A178" s="17" t="s">
        <v>348</v>
      </c>
      <c r="B178" s="19">
        <v>46048</v>
      </c>
      <c r="C178" s="20">
        <f t="shared" si="4"/>
        <v>46023</v>
      </c>
      <c r="D178" s="17" t="s">
        <v>61</v>
      </c>
      <c r="E178" s="17" t="s">
        <v>20</v>
      </c>
      <c r="F178" s="17" t="s">
        <v>31</v>
      </c>
      <c r="G178" s="21">
        <v>4</v>
      </c>
      <c r="H178" s="12">
        <v>87.66</v>
      </c>
      <c r="I178" s="22">
        <v>0.15</v>
      </c>
      <c r="J178" s="12">
        <f t="shared" si="5"/>
        <v>298.04000000000002</v>
      </c>
      <c r="K178" s="17" t="s">
        <v>48</v>
      </c>
    </row>
    <row r="179" spans="1:11" x14ac:dyDescent="0.25">
      <c r="A179" s="17" t="s">
        <v>349</v>
      </c>
      <c r="B179" s="19">
        <v>46048</v>
      </c>
      <c r="C179" s="20">
        <f t="shared" si="4"/>
        <v>46023</v>
      </c>
      <c r="D179" s="17" t="s">
        <v>181</v>
      </c>
      <c r="E179" s="17" t="s">
        <v>19</v>
      </c>
      <c r="F179" s="17" t="s">
        <v>31</v>
      </c>
      <c r="G179" s="21">
        <v>5</v>
      </c>
      <c r="H179" s="12">
        <v>125.94</v>
      </c>
      <c r="I179" s="22">
        <v>0.15</v>
      </c>
      <c r="J179" s="12">
        <f t="shared" si="5"/>
        <v>535.25</v>
      </c>
      <c r="K179" s="17" t="s">
        <v>48</v>
      </c>
    </row>
    <row r="180" spans="1:11" x14ac:dyDescent="0.25">
      <c r="A180" s="17" t="s">
        <v>350</v>
      </c>
      <c r="B180" s="19">
        <v>46049</v>
      </c>
      <c r="C180" s="20">
        <f t="shared" si="4"/>
        <v>46023</v>
      </c>
      <c r="D180" s="17" t="s">
        <v>297</v>
      </c>
      <c r="E180" s="17" t="s">
        <v>25</v>
      </c>
      <c r="F180" s="17" t="s">
        <v>30</v>
      </c>
      <c r="G180" s="21">
        <v>4</v>
      </c>
      <c r="H180" s="12">
        <v>30.87</v>
      </c>
      <c r="I180" s="22">
        <v>0</v>
      </c>
      <c r="J180" s="12">
        <f t="shared" si="5"/>
        <v>123.48</v>
      </c>
      <c r="K180" s="17" t="s">
        <v>59</v>
      </c>
    </row>
    <row r="181" spans="1:11" x14ac:dyDescent="0.25">
      <c r="A181" s="17" t="s">
        <v>351</v>
      </c>
      <c r="B181" s="19">
        <v>46049</v>
      </c>
      <c r="C181" s="20">
        <f t="shared" si="4"/>
        <v>46023</v>
      </c>
      <c r="D181" s="17" t="s">
        <v>172</v>
      </c>
      <c r="E181" s="17" t="s">
        <v>23</v>
      </c>
      <c r="F181" s="17" t="s">
        <v>30</v>
      </c>
      <c r="G181" s="21">
        <v>1</v>
      </c>
      <c r="H181" s="12">
        <v>59.45</v>
      </c>
      <c r="I181" s="22">
        <v>0.15</v>
      </c>
      <c r="J181" s="12">
        <f t="shared" si="5"/>
        <v>50.53</v>
      </c>
      <c r="K181" s="17" t="s">
        <v>59</v>
      </c>
    </row>
    <row r="182" spans="1:11" x14ac:dyDescent="0.25">
      <c r="A182" s="17" t="s">
        <v>352</v>
      </c>
      <c r="B182" s="19">
        <v>46049</v>
      </c>
      <c r="C182" s="20">
        <f t="shared" si="4"/>
        <v>46023</v>
      </c>
      <c r="D182" s="17" t="s">
        <v>71</v>
      </c>
      <c r="E182" s="17" t="s">
        <v>24</v>
      </c>
      <c r="F182" s="17" t="s">
        <v>30</v>
      </c>
      <c r="G182" s="21">
        <v>1</v>
      </c>
      <c r="H182" s="12">
        <v>34.46</v>
      </c>
      <c r="I182" s="22">
        <v>0</v>
      </c>
      <c r="J182" s="12">
        <f t="shared" si="5"/>
        <v>34.46</v>
      </c>
      <c r="K182" s="17" t="s">
        <v>59</v>
      </c>
    </row>
    <row r="183" spans="1:11" x14ac:dyDescent="0.25">
      <c r="A183" s="17" t="s">
        <v>353</v>
      </c>
      <c r="B183" s="19">
        <v>46049</v>
      </c>
      <c r="C183" s="20">
        <f t="shared" si="4"/>
        <v>46023</v>
      </c>
      <c r="D183" s="17" t="s">
        <v>354</v>
      </c>
      <c r="E183" s="17" t="s">
        <v>27</v>
      </c>
      <c r="F183" s="17" t="s">
        <v>30</v>
      </c>
      <c r="G183" s="21">
        <v>2</v>
      </c>
      <c r="H183" s="12">
        <v>12.71</v>
      </c>
      <c r="I183" s="22">
        <v>0</v>
      </c>
      <c r="J183" s="12">
        <f t="shared" si="5"/>
        <v>25.42</v>
      </c>
      <c r="K183" s="17" t="s">
        <v>59</v>
      </c>
    </row>
    <row r="184" spans="1:11" x14ac:dyDescent="0.25">
      <c r="A184" s="17" t="s">
        <v>355</v>
      </c>
      <c r="B184" s="19">
        <v>46049</v>
      </c>
      <c r="C184" s="20">
        <f t="shared" si="4"/>
        <v>46023</v>
      </c>
      <c r="D184" s="17" t="s">
        <v>159</v>
      </c>
      <c r="E184" s="17" t="s">
        <v>21</v>
      </c>
      <c r="F184" s="17" t="s">
        <v>30</v>
      </c>
      <c r="G184" s="21">
        <v>1</v>
      </c>
      <c r="H184" s="12">
        <v>76.84</v>
      </c>
      <c r="I184" s="22">
        <v>0</v>
      </c>
      <c r="J184" s="12">
        <f t="shared" si="5"/>
        <v>76.84</v>
      </c>
      <c r="K184" s="17" t="s">
        <v>59</v>
      </c>
    </row>
    <row r="185" spans="1:11" x14ac:dyDescent="0.25">
      <c r="A185" s="17" t="s">
        <v>356</v>
      </c>
      <c r="B185" s="19">
        <v>46049</v>
      </c>
      <c r="C185" s="20">
        <f t="shared" si="4"/>
        <v>46023</v>
      </c>
      <c r="D185" s="17" t="s">
        <v>357</v>
      </c>
      <c r="E185" s="17" t="s">
        <v>23</v>
      </c>
      <c r="F185" s="17" t="s">
        <v>30</v>
      </c>
      <c r="G185" s="21">
        <v>2</v>
      </c>
      <c r="H185" s="12">
        <v>57.92</v>
      </c>
      <c r="I185" s="22">
        <v>0</v>
      </c>
      <c r="J185" s="12">
        <f t="shared" si="5"/>
        <v>115.84</v>
      </c>
      <c r="K185" s="17" t="s">
        <v>43</v>
      </c>
    </row>
    <row r="186" spans="1:11" x14ac:dyDescent="0.25">
      <c r="A186" s="17" t="s">
        <v>358</v>
      </c>
      <c r="B186" s="19">
        <v>46049</v>
      </c>
      <c r="C186" s="20">
        <f t="shared" si="4"/>
        <v>46023</v>
      </c>
      <c r="D186" s="17" t="s">
        <v>359</v>
      </c>
      <c r="E186" s="17" t="s">
        <v>25</v>
      </c>
      <c r="F186" s="17" t="s">
        <v>30</v>
      </c>
      <c r="G186" s="21">
        <v>1</v>
      </c>
      <c r="H186" s="12">
        <v>29.66</v>
      </c>
      <c r="I186" s="22">
        <v>0.15</v>
      </c>
      <c r="J186" s="12">
        <f t="shared" si="5"/>
        <v>25.21</v>
      </c>
      <c r="K186" s="17" t="s">
        <v>43</v>
      </c>
    </row>
    <row r="187" spans="1:11" x14ac:dyDescent="0.25">
      <c r="A187" s="17" t="s">
        <v>360</v>
      </c>
      <c r="B187" s="19">
        <v>46049</v>
      </c>
      <c r="C187" s="20">
        <f t="shared" si="4"/>
        <v>46023</v>
      </c>
      <c r="D187" s="17" t="s">
        <v>172</v>
      </c>
      <c r="E187" s="17" t="s">
        <v>27</v>
      </c>
      <c r="F187" s="17" t="s">
        <v>30</v>
      </c>
      <c r="G187" s="21">
        <v>2</v>
      </c>
      <c r="H187" s="12">
        <v>13.3</v>
      </c>
      <c r="I187" s="22">
        <v>0</v>
      </c>
      <c r="J187" s="12">
        <f t="shared" si="5"/>
        <v>26.6</v>
      </c>
      <c r="K187" s="17" t="s">
        <v>43</v>
      </c>
    </row>
    <row r="188" spans="1:11" x14ac:dyDescent="0.25">
      <c r="A188" s="17" t="s">
        <v>361</v>
      </c>
      <c r="B188" s="19">
        <v>46049</v>
      </c>
      <c r="C188" s="20">
        <f t="shared" si="4"/>
        <v>46023</v>
      </c>
      <c r="D188" s="17" t="s">
        <v>362</v>
      </c>
      <c r="E188" s="17" t="s">
        <v>25</v>
      </c>
      <c r="F188" s="17" t="s">
        <v>31</v>
      </c>
      <c r="G188" s="21">
        <v>1</v>
      </c>
      <c r="H188" s="12">
        <v>29.3</v>
      </c>
      <c r="I188" s="22">
        <v>0.1</v>
      </c>
      <c r="J188" s="12">
        <f t="shared" si="5"/>
        <v>26.37</v>
      </c>
      <c r="K188" s="17" t="s">
        <v>48</v>
      </c>
    </row>
    <row r="189" spans="1:11" x14ac:dyDescent="0.25">
      <c r="A189" s="17" t="s">
        <v>363</v>
      </c>
      <c r="B189" s="19">
        <v>46049</v>
      </c>
      <c r="C189" s="20">
        <f t="shared" si="4"/>
        <v>46023</v>
      </c>
      <c r="D189" s="17" t="s">
        <v>364</v>
      </c>
      <c r="E189" s="17" t="s">
        <v>20</v>
      </c>
      <c r="F189" s="17" t="s">
        <v>31</v>
      </c>
      <c r="G189" s="21">
        <v>3</v>
      </c>
      <c r="H189" s="12">
        <v>89.09</v>
      </c>
      <c r="I189" s="22">
        <v>0</v>
      </c>
      <c r="J189" s="12">
        <f t="shared" si="5"/>
        <v>267.27</v>
      </c>
      <c r="K189" s="17" t="s">
        <v>48</v>
      </c>
    </row>
    <row r="190" spans="1:11" x14ac:dyDescent="0.25">
      <c r="A190" s="17" t="s">
        <v>365</v>
      </c>
      <c r="B190" s="19">
        <v>46049</v>
      </c>
      <c r="C190" s="20">
        <f t="shared" si="4"/>
        <v>46023</v>
      </c>
      <c r="D190" s="17" t="s">
        <v>366</v>
      </c>
      <c r="E190" s="17" t="s">
        <v>21</v>
      </c>
      <c r="F190" s="17" t="s">
        <v>31</v>
      </c>
      <c r="G190" s="21">
        <v>3</v>
      </c>
      <c r="H190" s="12">
        <v>80.959999999999994</v>
      </c>
      <c r="I190" s="22">
        <v>0.05</v>
      </c>
      <c r="J190" s="12">
        <f t="shared" si="5"/>
        <v>230.74</v>
      </c>
      <c r="K190" s="17" t="s">
        <v>48</v>
      </c>
    </row>
    <row r="191" spans="1:11" x14ac:dyDescent="0.25">
      <c r="A191" s="17" t="s">
        <v>367</v>
      </c>
      <c r="B191" s="19">
        <v>46050</v>
      </c>
      <c r="C191" s="20">
        <f t="shared" si="4"/>
        <v>46023</v>
      </c>
      <c r="D191" s="17" t="s">
        <v>342</v>
      </c>
      <c r="E191" s="17" t="s">
        <v>21</v>
      </c>
      <c r="F191" s="17" t="s">
        <v>30</v>
      </c>
      <c r="G191" s="21">
        <v>4</v>
      </c>
      <c r="H191" s="12">
        <v>81.23</v>
      </c>
      <c r="I191" s="22">
        <v>0</v>
      </c>
      <c r="J191" s="12">
        <f t="shared" si="5"/>
        <v>324.92</v>
      </c>
      <c r="K191" s="17" t="s">
        <v>59</v>
      </c>
    </row>
    <row r="192" spans="1:11" x14ac:dyDescent="0.25">
      <c r="A192" s="17" t="s">
        <v>368</v>
      </c>
      <c r="B192" s="19">
        <v>46050</v>
      </c>
      <c r="C192" s="20">
        <f t="shared" si="4"/>
        <v>46023</v>
      </c>
      <c r="D192" s="17" t="s">
        <v>369</v>
      </c>
      <c r="E192" s="17" t="s">
        <v>23</v>
      </c>
      <c r="F192" s="17" t="s">
        <v>30</v>
      </c>
      <c r="G192" s="21">
        <v>1</v>
      </c>
      <c r="H192" s="12">
        <v>57.78</v>
      </c>
      <c r="I192" s="22">
        <v>0.1</v>
      </c>
      <c r="J192" s="12">
        <f t="shared" si="5"/>
        <v>52</v>
      </c>
      <c r="K192" s="17" t="s">
        <v>59</v>
      </c>
    </row>
    <row r="193" spans="1:11" x14ac:dyDescent="0.25">
      <c r="A193" s="17" t="s">
        <v>370</v>
      </c>
      <c r="B193" s="19">
        <v>46050</v>
      </c>
      <c r="C193" s="20">
        <f t="shared" si="4"/>
        <v>46023</v>
      </c>
      <c r="D193" s="17" t="s">
        <v>293</v>
      </c>
      <c r="E193" s="17" t="s">
        <v>24</v>
      </c>
      <c r="F193" s="17" t="s">
        <v>30</v>
      </c>
      <c r="G193" s="21">
        <v>1</v>
      </c>
      <c r="H193" s="12">
        <v>35.049999999999997</v>
      </c>
      <c r="I193" s="22">
        <v>0.1</v>
      </c>
      <c r="J193" s="12">
        <f t="shared" si="5"/>
        <v>31.55</v>
      </c>
      <c r="K193" s="17" t="s">
        <v>59</v>
      </c>
    </row>
    <row r="194" spans="1:11" x14ac:dyDescent="0.25">
      <c r="A194" s="17" t="s">
        <v>371</v>
      </c>
      <c r="B194" s="19">
        <v>46050</v>
      </c>
      <c r="C194" s="20">
        <f t="shared" ref="C194:C257" si="6">DATE(YEAR(B194),MONTH(B194),1)</f>
        <v>46023</v>
      </c>
      <c r="D194" s="17" t="s">
        <v>372</v>
      </c>
      <c r="E194" s="17" t="s">
        <v>16</v>
      </c>
      <c r="F194" s="17" t="s">
        <v>30</v>
      </c>
      <c r="G194" s="21">
        <v>1</v>
      </c>
      <c r="H194" s="12">
        <v>247.76</v>
      </c>
      <c r="I194" s="22">
        <v>0.15</v>
      </c>
      <c r="J194" s="12">
        <f t="shared" ref="J194:J257" si="7">ROUND(G194*H194*(1-I194),2)</f>
        <v>210.6</v>
      </c>
      <c r="K194" s="17" t="s">
        <v>59</v>
      </c>
    </row>
    <row r="195" spans="1:11" x14ac:dyDescent="0.25">
      <c r="A195" s="17" t="s">
        <v>373</v>
      </c>
      <c r="B195" s="19">
        <v>46050</v>
      </c>
      <c r="C195" s="20">
        <f t="shared" si="6"/>
        <v>46023</v>
      </c>
      <c r="D195" s="17" t="s">
        <v>374</v>
      </c>
      <c r="E195" s="17" t="s">
        <v>22</v>
      </c>
      <c r="F195" s="17" t="s">
        <v>30</v>
      </c>
      <c r="G195" s="21">
        <v>4</v>
      </c>
      <c r="H195" s="12">
        <v>96.09</v>
      </c>
      <c r="I195" s="22">
        <v>0</v>
      </c>
      <c r="J195" s="12">
        <f t="shared" si="7"/>
        <v>384.36</v>
      </c>
      <c r="K195" s="17" t="s">
        <v>59</v>
      </c>
    </row>
    <row r="196" spans="1:11" x14ac:dyDescent="0.25">
      <c r="A196" s="17" t="s">
        <v>375</v>
      </c>
      <c r="B196" s="19">
        <v>46050</v>
      </c>
      <c r="C196" s="20">
        <f t="shared" si="6"/>
        <v>46023</v>
      </c>
      <c r="D196" s="17" t="s">
        <v>63</v>
      </c>
      <c r="E196" s="17" t="s">
        <v>18</v>
      </c>
      <c r="F196" s="17" t="s">
        <v>30</v>
      </c>
      <c r="G196" s="21">
        <v>5</v>
      </c>
      <c r="H196" s="12">
        <v>147.44999999999999</v>
      </c>
      <c r="I196" s="22">
        <v>0</v>
      </c>
      <c r="J196" s="12">
        <f t="shared" si="7"/>
        <v>737.25</v>
      </c>
      <c r="K196" s="17" t="s">
        <v>43</v>
      </c>
    </row>
    <row r="197" spans="1:11" x14ac:dyDescent="0.25">
      <c r="A197" s="17" t="s">
        <v>376</v>
      </c>
      <c r="B197" s="19">
        <v>46050</v>
      </c>
      <c r="C197" s="20">
        <f t="shared" si="6"/>
        <v>46023</v>
      </c>
      <c r="D197" s="17" t="s">
        <v>287</v>
      </c>
      <c r="E197" s="17" t="s">
        <v>26</v>
      </c>
      <c r="F197" s="17" t="s">
        <v>30</v>
      </c>
      <c r="G197" s="21">
        <v>1</v>
      </c>
      <c r="H197" s="12">
        <v>24.2</v>
      </c>
      <c r="I197" s="22">
        <v>0</v>
      </c>
      <c r="J197" s="12">
        <f t="shared" si="7"/>
        <v>24.2</v>
      </c>
      <c r="K197" s="17" t="s">
        <v>43</v>
      </c>
    </row>
    <row r="198" spans="1:11" x14ac:dyDescent="0.25">
      <c r="A198" s="17" t="s">
        <v>377</v>
      </c>
      <c r="B198" s="19">
        <v>46050</v>
      </c>
      <c r="C198" s="20">
        <f t="shared" si="6"/>
        <v>46023</v>
      </c>
      <c r="D198" s="17" t="s">
        <v>378</v>
      </c>
      <c r="E198" s="17" t="s">
        <v>26</v>
      </c>
      <c r="F198" s="17" t="s">
        <v>30</v>
      </c>
      <c r="G198" s="21">
        <v>1</v>
      </c>
      <c r="H198" s="12">
        <v>24.64</v>
      </c>
      <c r="I198" s="22">
        <v>0.1</v>
      </c>
      <c r="J198" s="12">
        <f t="shared" si="7"/>
        <v>22.18</v>
      </c>
      <c r="K198" s="17" t="s">
        <v>43</v>
      </c>
    </row>
    <row r="199" spans="1:11" x14ac:dyDescent="0.25">
      <c r="A199" s="17" t="s">
        <v>379</v>
      </c>
      <c r="B199" s="19">
        <v>46050</v>
      </c>
      <c r="C199" s="20">
        <f t="shared" si="6"/>
        <v>46023</v>
      </c>
      <c r="D199" s="17" t="s">
        <v>380</v>
      </c>
      <c r="E199" s="17" t="s">
        <v>25</v>
      </c>
      <c r="F199" s="17" t="s">
        <v>30</v>
      </c>
      <c r="G199" s="21">
        <v>5</v>
      </c>
      <c r="H199" s="12">
        <v>29.93</v>
      </c>
      <c r="I199" s="22">
        <v>0</v>
      </c>
      <c r="J199" s="12">
        <f t="shared" si="7"/>
        <v>149.65</v>
      </c>
      <c r="K199" s="17" t="s">
        <v>43</v>
      </c>
    </row>
    <row r="200" spans="1:11" x14ac:dyDescent="0.25">
      <c r="A200" s="17" t="s">
        <v>381</v>
      </c>
      <c r="B200" s="19">
        <v>46050</v>
      </c>
      <c r="C200" s="20">
        <f t="shared" si="6"/>
        <v>46023</v>
      </c>
      <c r="D200" s="17" t="s">
        <v>382</v>
      </c>
      <c r="E200" s="17" t="s">
        <v>26</v>
      </c>
      <c r="F200" s="17" t="s">
        <v>31</v>
      </c>
      <c r="G200" s="21">
        <v>4</v>
      </c>
      <c r="H200" s="12">
        <v>24.57</v>
      </c>
      <c r="I200" s="22">
        <v>0</v>
      </c>
      <c r="J200" s="12">
        <f t="shared" si="7"/>
        <v>98.28</v>
      </c>
      <c r="K200" s="17" t="s">
        <v>48</v>
      </c>
    </row>
    <row r="201" spans="1:11" x14ac:dyDescent="0.25">
      <c r="A201" s="17" t="s">
        <v>383</v>
      </c>
      <c r="B201" s="19">
        <v>46050</v>
      </c>
      <c r="C201" s="20">
        <f t="shared" si="6"/>
        <v>46023</v>
      </c>
      <c r="D201" s="17" t="s">
        <v>261</v>
      </c>
      <c r="E201" s="17" t="s">
        <v>24</v>
      </c>
      <c r="F201" s="17" t="s">
        <v>31</v>
      </c>
      <c r="G201" s="21">
        <v>5</v>
      </c>
      <c r="H201" s="12">
        <v>34.25</v>
      </c>
      <c r="I201" s="22">
        <v>0</v>
      </c>
      <c r="J201" s="12">
        <f t="shared" si="7"/>
        <v>171.25</v>
      </c>
      <c r="K201" s="17" t="s">
        <v>48</v>
      </c>
    </row>
    <row r="202" spans="1:11" x14ac:dyDescent="0.25">
      <c r="A202" s="17" t="s">
        <v>384</v>
      </c>
      <c r="B202" s="19">
        <v>46051</v>
      </c>
      <c r="C202" s="20">
        <f t="shared" si="6"/>
        <v>46023</v>
      </c>
      <c r="D202" s="17" t="s">
        <v>86</v>
      </c>
      <c r="E202" s="17" t="s">
        <v>23</v>
      </c>
      <c r="F202" s="17" t="s">
        <v>30</v>
      </c>
      <c r="G202" s="21">
        <v>3</v>
      </c>
      <c r="H202" s="12">
        <v>57.91</v>
      </c>
      <c r="I202" s="22">
        <v>0.15</v>
      </c>
      <c r="J202" s="12">
        <f t="shared" si="7"/>
        <v>147.66999999999999</v>
      </c>
      <c r="K202" s="17" t="s">
        <v>59</v>
      </c>
    </row>
    <row r="203" spans="1:11" x14ac:dyDescent="0.25">
      <c r="A203" s="17" t="s">
        <v>385</v>
      </c>
      <c r="B203" s="19">
        <v>46051</v>
      </c>
      <c r="C203" s="20">
        <f t="shared" si="6"/>
        <v>46023</v>
      </c>
      <c r="D203" s="17" t="s">
        <v>386</v>
      </c>
      <c r="E203" s="17" t="s">
        <v>17</v>
      </c>
      <c r="F203" s="17" t="s">
        <v>30</v>
      </c>
      <c r="G203" s="21">
        <v>1</v>
      </c>
      <c r="H203" s="12">
        <v>223.27</v>
      </c>
      <c r="I203" s="22">
        <v>0.15</v>
      </c>
      <c r="J203" s="12">
        <f t="shared" si="7"/>
        <v>189.78</v>
      </c>
      <c r="K203" s="17" t="s">
        <v>59</v>
      </c>
    </row>
    <row r="204" spans="1:11" x14ac:dyDescent="0.25">
      <c r="A204" s="17" t="s">
        <v>387</v>
      </c>
      <c r="B204" s="19">
        <v>46051</v>
      </c>
      <c r="C204" s="20">
        <f t="shared" si="6"/>
        <v>46023</v>
      </c>
      <c r="D204" s="17" t="s">
        <v>388</v>
      </c>
      <c r="E204" s="17" t="s">
        <v>16</v>
      </c>
      <c r="F204" s="17" t="s">
        <v>30</v>
      </c>
      <c r="G204" s="21">
        <v>1</v>
      </c>
      <c r="H204" s="12">
        <v>254.22</v>
      </c>
      <c r="I204" s="22">
        <v>0.05</v>
      </c>
      <c r="J204" s="12">
        <f t="shared" si="7"/>
        <v>241.51</v>
      </c>
      <c r="K204" s="17" t="s">
        <v>43</v>
      </c>
    </row>
    <row r="205" spans="1:11" x14ac:dyDescent="0.25">
      <c r="A205" s="17" t="s">
        <v>389</v>
      </c>
      <c r="B205" s="19">
        <v>46051</v>
      </c>
      <c r="C205" s="20">
        <f t="shared" si="6"/>
        <v>46023</v>
      </c>
      <c r="D205" s="17" t="s">
        <v>114</v>
      </c>
      <c r="E205" s="17" t="s">
        <v>16</v>
      </c>
      <c r="F205" s="17" t="s">
        <v>30</v>
      </c>
      <c r="G205" s="21">
        <v>1</v>
      </c>
      <c r="H205" s="12">
        <v>244.66</v>
      </c>
      <c r="I205" s="22">
        <v>0.1</v>
      </c>
      <c r="J205" s="12">
        <f t="shared" si="7"/>
        <v>220.19</v>
      </c>
      <c r="K205" s="17" t="s">
        <v>43</v>
      </c>
    </row>
    <row r="206" spans="1:11" x14ac:dyDescent="0.25">
      <c r="A206" s="17" t="s">
        <v>390</v>
      </c>
      <c r="B206" s="19">
        <v>46051</v>
      </c>
      <c r="C206" s="20">
        <f t="shared" si="6"/>
        <v>46023</v>
      </c>
      <c r="D206" s="17" t="s">
        <v>210</v>
      </c>
      <c r="E206" s="17" t="s">
        <v>18</v>
      </c>
      <c r="F206" s="17" t="s">
        <v>31</v>
      </c>
      <c r="G206" s="21">
        <v>2</v>
      </c>
      <c r="H206" s="12">
        <v>153.16999999999999</v>
      </c>
      <c r="I206" s="22">
        <v>0.05</v>
      </c>
      <c r="J206" s="12">
        <f t="shared" si="7"/>
        <v>291.02</v>
      </c>
      <c r="K206" s="17" t="s">
        <v>48</v>
      </c>
    </row>
    <row r="207" spans="1:11" x14ac:dyDescent="0.25">
      <c r="A207" s="17" t="s">
        <v>391</v>
      </c>
      <c r="B207" s="19">
        <v>46051</v>
      </c>
      <c r="C207" s="20">
        <f t="shared" si="6"/>
        <v>46023</v>
      </c>
      <c r="D207" s="17" t="s">
        <v>392</v>
      </c>
      <c r="E207" s="17" t="s">
        <v>22</v>
      </c>
      <c r="F207" s="17" t="s">
        <v>31</v>
      </c>
      <c r="G207" s="21">
        <v>3</v>
      </c>
      <c r="H207" s="12">
        <v>101.47</v>
      </c>
      <c r="I207" s="22">
        <v>0.05</v>
      </c>
      <c r="J207" s="12">
        <f t="shared" si="7"/>
        <v>289.19</v>
      </c>
      <c r="K207" s="17" t="s">
        <v>48</v>
      </c>
    </row>
    <row r="208" spans="1:11" x14ac:dyDescent="0.25">
      <c r="A208" s="17" t="s">
        <v>393</v>
      </c>
      <c r="B208" s="19">
        <v>46051</v>
      </c>
      <c r="C208" s="20">
        <f t="shared" si="6"/>
        <v>46023</v>
      </c>
      <c r="D208" s="17" t="s">
        <v>177</v>
      </c>
      <c r="E208" s="17" t="s">
        <v>22</v>
      </c>
      <c r="F208" s="17" t="s">
        <v>31</v>
      </c>
      <c r="G208" s="21">
        <v>3</v>
      </c>
      <c r="H208" s="12">
        <v>100.88</v>
      </c>
      <c r="I208" s="22">
        <v>0</v>
      </c>
      <c r="J208" s="12">
        <f t="shared" si="7"/>
        <v>302.64</v>
      </c>
      <c r="K208" s="17" t="s">
        <v>48</v>
      </c>
    </row>
    <row r="209" spans="1:11" x14ac:dyDescent="0.25">
      <c r="A209" s="17" t="s">
        <v>394</v>
      </c>
      <c r="B209" s="19">
        <v>46051</v>
      </c>
      <c r="C209" s="20">
        <f t="shared" si="6"/>
        <v>46023</v>
      </c>
      <c r="D209" s="17" t="s">
        <v>395</v>
      </c>
      <c r="E209" s="17" t="s">
        <v>22</v>
      </c>
      <c r="F209" s="17" t="s">
        <v>31</v>
      </c>
      <c r="G209" s="21">
        <v>3</v>
      </c>
      <c r="H209" s="12">
        <v>101.94</v>
      </c>
      <c r="I209" s="22">
        <v>0</v>
      </c>
      <c r="J209" s="12">
        <f t="shared" si="7"/>
        <v>305.82</v>
      </c>
      <c r="K209" s="17" t="s">
        <v>48</v>
      </c>
    </row>
    <row r="210" spans="1:11" x14ac:dyDescent="0.25">
      <c r="A210" s="17" t="s">
        <v>396</v>
      </c>
      <c r="B210" s="19">
        <v>46052</v>
      </c>
      <c r="C210" s="20">
        <f t="shared" si="6"/>
        <v>46023</v>
      </c>
      <c r="D210" s="17" t="s">
        <v>278</v>
      </c>
      <c r="E210" s="17" t="s">
        <v>21</v>
      </c>
      <c r="F210" s="17" t="s">
        <v>30</v>
      </c>
      <c r="G210" s="21">
        <v>3</v>
      </c>
      <c r="H210" s="12">
        <v>77.680000000000007</v>
      </c>
      <c r="I210" s="22">
        <v>0</v>
      </c>
      <c r="J210" s="12">
        <f t="shared" si="7"/>
        <v>233.04</v>
      </c>
      <c r="K210" s="17" t="s">
        <v>59</v>
      </c>
    </row>
    <row r="211" spans="1:11" x14ac:dyDescent="0.25">
      <c r="A211" s="17" t="s">
        <v>397</v>
      </c>
      <c r="B211" s="19">
        <v>46052</v>
      </c>
      <c r="C211" s="20">
        <f t="shared" si="6"/>
        <v>46023</v>
      </c>
      <c r="D211" s="17" t="s">
        <v>398</v>
      </c>
      <c r="E211" s="17" t="s">
        <v>18</v>
      </c>
      <c r="F211" s="17" t="s">
        <v>30</v>
      </c>
      <c r="G211" s="21">
        <v>1</v>
      </c>
      <c r="H211" s="12">
        <v>147.4</v>
      </c>
      <c r="I211" s="22">
        <v>0.1</v>
      </c>
      <c r="J211" s="12">
        <f t="shared" si="7"/>
        <v>132.66</v>
      </c>
      <c r="K211" s="17" t="s">
        <v>43</v>
      </c>
    </row>
    <row r="212" spans="1:11" x14ac:dyDescent="0.25">
      <c r="A212" s="17" t="s">
        <v>399</v>
      </c>
      <c r="B212" s="19">
        <v>46052</v>
      </c>
      <c r="C212" s="20">
        <f t="shared" si="6"/>
        <v>46023</v>
      </c>
      <c r="D212" s="17" t="s">
        <v>120</v>
      </c>
      <c r="E212" s="17" t="s">
        <v>25</v>
      </c>
      <c r="F212" s="17" t="s">
        <v>30</v>
      </c>
      <c r="G212" s="21">
        <v>4</v>
      </c>
      <c r="H212" s="12">
        <v>30.57</v>
      </c>
      <c r="I212" s="22">
        <v>0</v>
      </c>
      <c r="J212" s="12">
        <f t="shared" si="7"/>
        <v>122.28</v>
      </c>
      <c r="K212" s="17" t="s">
        <v>43</v>
      </c>
    </row>
    <row r="213" spans="1:11" x14ac:dyDescent="0.25">
      <c r="A213" s="17" t="s">
        <v>400</v>
      </c>
      <c r="B213" s="19">
        <v>46052</v>
      </c>
      <c r="C213" s="20">
        <f t="shared" si="6"/>
        <v>46023</v>
      </c>
      <c r="D213" s="17" t="s">
        <v>258</v>
      </c>
      <c r="E213" s="17" t="s">
        <v>16</v>
      </c>
      <c r="F213" s="17" t="s">
        <v>31</v>
      </c>
      <c r="G213" s="21">
        <v>1</v>
      </c>
      <c r="H213" s="12">
        <v>251.56</v>
      </c>
      <c r="I213" s="22">
        <v>0</v>
      </c>
      <c r="J213" s="12">
        <f t="shared" si="7"/>
        <v>251.56</v>
      </c>
      <c r="K213" s="17" t="s">
        <v>48</v>
      </c>
    </row>
    <row r="214" spans="1:11" x14ac:dyDescent="0.25">
      <c r="A214" s="17" t="s">
        <v>401</v>
      </c>
      <c r="B214" s="19">
        <v>46052</v>
      </c>
      <c r="C214" s="20">
        <f t="shared" si="6"/>
        <v>46023</v>
      </c>
      <c r="D214" s="17" t="s">
        <v>402</v>
      </c>
      <c r="E214" s="17" t="s">
        <v>23</v>
      </c>
      <c r="F214" s="17" t="s">
        <v>31</v>
      </c>
      <c r="G214" s="21">
        <v>3</v>
      </c>
      <c r="H214" s="12">
        <v>57.72</v>
      </c>
      <c r="I214" s="22">
        <v>0.15</v>
      </c>
      <c r="J214" s="12">
        <f t="shared" si="7"/>
        <v>147.19</v>
      </c>
      <c r="K214" s="17" t="s">
        <v>48</v>
      </c>
    </row>
    <row r="215" spans="1:11" x14ac:dyDescent="0.25">
      <c r="A215" s="17" t="s">
        <v>403</v>
      </c>
      <c r="B215" s="19">
        <v>46052</v>
      </c>
      <c r="C215" s="20">
        <f t="shared" si="6"/>
        <v>46023</v>
      </c>
      <c r="D215" s="17" t="s">
        <v>404</v>
      </c>
      <c r="E215" s="17" t="s">
        <v>27</v>
      </c>
      <c r="F215" s="17" t="s">
        <v>31</v>
      </c>
      <c r="G215" s="21">
        <v>5</v>
      </c>
      <c r="H215" s="12">
        <v>13.14</v>
      </c>
      <c r="I215" s="22">
        <v>0</v>
      </c>
      <c r="J215" s="12">
        <f t="shared" si="7"/>
        <v>65.7</v>
      </c>
      <c r="K215" s="17" t="s">
        <v>48</v>
      </c>
    </row>
    <row r="216" spans="1:11" x14ac:dyDescent="0.25">
      <c r="A216" s="17" t="s">
        <v>405</v>
      </c>
      <c r="B216" s="19">
        <v>46052</v>
      </c>
      <c r="C216" s="20">
        <f t="shared" si="6"/>
        <v>46023</v>
      </c>
      <c r="D216" s="17" t="s">
        <v>406</v>
      </c>
      <c r="E216" s="17" t="s">
        <v>20</v>
      </c>
      <c r="F216" s="17" t="s">
        <v>31</v>
      </c>
      <c r="G216" s="21">
        <v>2</v>
      </c>
      <c r="H216" s="12">
        <v>86.46</v>
      </c>
      <c r="I216" s="22">
        <v>0.15</v>
      </c>
      <c r="J216" s="12">
        <f t="shared" si="7"/>
        <v>146.97999999999999</v>
      </c>
      <c r="K216" s="17" t="s">
        <v>48</v>
      </c>
    </row>
    <row r="217" spans="1:11" x14ac:dyDescent="0.25">
      <c r="A217" s="17" t="s">
        <v>407</v>
      </c>
      <c r="B217" s="19">
        <v>46052</v>
      </c>
      <c r="C217" s="20">
        <f t="shared" si="6"/>
        <v>46023</v>
      </c>
      <c r="D217" s="17" t="s">
        <v>333</v>
      </c>
      <c r="E217" s="17" t="s">
        <v>16</v>
      </c>
      <c r="F217" s="17" t="s">
        <v>31</v>
      </c>
      <c r="G217" s="21">
        <v>5</v>
      </c>
      <c r="H217" s="12">
        <v>244.14</v>
      </c>
      <c r="I217" s="22">
        <v>0</v>
      </c>
      <c r="J217" s="12">
        <f t="shared" si="7"/>
        <v>1220.7</v>
      </c>
      <c r="K217" s="17" t="s">
        <v>48</v>
      </c>
    </row>
    <row r="218" spans="1:11" x14ac:dyDescent="0.25">
      <c r="A218" s="17" t="s">
        <v>408</v>
      </c>
      <c r="B218" s="19">
        <v>46052</v>
      </c>
      <c r="C218" s="20">
        <f t="shared" si="6"/>
        <v>46023</v>
      </c>
      <c r="D218" s="17" t="s">
        <v>369</v>
      </c>
      <c r="E218" s="17" t="s">
        <v>23</v>
      </c>
      <c r="F218" s="17" t="s">
        <v>31</v>
      </c>
      <c r="G218" s="21">
        <v>1</v>
      </c>
      <c r="H218" s="12">
        <v>60.66</v>
      </c>
      <c r="I218" s="22">
        <v>0.05</v>
      </c>
      <c r="J218" s="12">
        <f t="shared" si="7"/>
        <v>57.63</v>
      </c>
      <c r="K218" s="17" t="s">
        <v>48</v>
      </c>
    </row>
    <row r="219" spans="1:11" x14ac:dyDescent="0.25">
      <c r="A219" s="17" t="s">
        <v>409</v>
      </c>
      <c r="B219" s="19">
        <v>46052</v>
      </c>
      <c r="C219" s="20">
        <f t="shared" si="6"/>
        <v>46023</v>
      </c>
      <c r="D219" s="17" t="s">
        <v>410</v>
      </c>
      <c r="E219" s="17" t="s">
        <v>24</v>
      </c>
      <c r="F219" s="17" t="s">
        <v>31</v>
      </c>
      <c r="G219" s="21">
        <v>1</v>
      </c>
      <c r="H219" s="12">
        <v>35.06</v>
      </c>
      <c r="I219" s="22">
        <v>0</v>
      </c>
      <c r="J219" s="12">
        <f t="shared" si="7"/>
        <v>35.06</v>
      </c>
      <c r="K219" s="17" t="s">
        <v>48</v>
      </c>
    </row>
    <row r="220" spans="1:11" x14ac:dyDescent="0.25">
      <c r="A220" s="17" t="s">
        <v>411</v>
      </c>
      <c r="B220" s="19">
        <v>46052</v>
      </c>
      <c r="C220" s="20">
        <f t="shared" si="6"/>
        <v>46023</v>
      </c>
      <c r="D220" s="17" t="s">
        <v>412</v>
      </c>
      <c r="E220" s="17" t="s">
        <v>26</v>
      </c>
      <c r="F220" s="17" t="s">
        <v>31</v>
      </c>
      <c r="G220" s="21">
        <v>2</v>
      </c>
      <c r="H220" s="12">
        <v>25.03</v>
      </c>
      <c r="I220" s="22">
        <v>0</v>
      </c>
      <c r="J220" s="12">
        <f t="shared" si="7"/>
        <v>50.06</v>
      </c>
      <c r="K220" s="17" t="s">
        <v>48</v>
      </c>
    </row>
    <row r="221" spans="1:11" x14ac:dyDescent="0.25">
      <c r="A221" s="17" t="s">
        <v>413</v>
      </c>
      <c r="B221" s="19">
        <v>46052</v>
      </c>
      <c r="C221" s="20">
        <f t="shared" si="6"/>
        <v>46023</v>
      </c>
      <c r="D221" s="17" t="s">
        <v>414</v>
      </c>
      <c r="E221" s="17" t="s">
        <v>21</v>
      </c>
      <c r="F221" s="17" t="s">
        <v>31</v>
      </c>
      <c r="G221" s="21">
        <v>2</v>
      </c>
      <c r="H221" s="12">
        <v>80.58</v>
      </c>
      <c r="I221" s="22">
        <v>0.1</v>
      </c>
      <c r="J221" s="12">
        <f t="shared" si="7"/>
        <v>145.04</v>
      </c>
      <c r="K221" s="17" t="s">
        <v>48</v>
      </c>
    </row>
    <row r="222" spans="1:11" x14ac:dyDescent="0.25">
      <c r="A222" s="17" t="s">
        <v>415</v>
      </c>
      <c r="B222" s="19">
        <v>46053</v>
      </c>
      <c r="C222" s="20">
        <f t="shared" si="6"/>
        <v>46023</v>
      </c>
      <c r="D222" s="17" t="s">
        <v>392</v>
      </c>
      <c r="E222" s="17" t="s">
        <v>23</v>
      </c>
      <c r="F222" s="17" t="s">
        <v>30</v>
      </c>
      <c r="G222" s="21">
        <v>3</v>
      </c>
      <c r="H222" s="12">
        <v>59.89</v>
      </c>
      <c r="I222" s="22">
        <v>0.05</v>
      </c>
      <c r="J222" s="12">
        <f t="shared" si="7"/>
        <v>170.69</v>
      </c>
      <c r="K222" s="17" t="s">
        <v>59</v>
      </c>
    </row>
    <row r="223" spans="1:11" x14ac:dyDescent="0.25">
      <c r="A223" s="17" t="s">
        <v>416</v>
      </c>
      <c r="B223" s="19">
        <v>46053</v>
      </c>
      <c r="C223" s="20">
        <f t="shared" si="6"/>
        <v>46023</v>
      </c>
      <c r="D223" s="17" t="s">
        <v>417</v>
      </c>
      <c r="E223" s="17" t="s">
        <v>22</v>
      </c>
      <c r="F223" s="17" t="s">
        <v>30</v>
      </c>
      <c r="G223" s="21">
        <v>1</v>
      </c>
      <c r="H223" s="12">
        <v>98.51</v>
      </c>
      <c r="I223" s="22">
        <v>0</v>
      </c>
      <c r="J223" s="12">
        <f t="shared" si="7"/>
        <v>98.51</v>
      </c>
      <c r="K223" s="17" t="s">
        <v>59</v>
      </c>
    </row>
    <row r="224" spans="1:11" x14ac:dyDescent="0.25">
      <c r="A224" s="17" t="s">
        <v>418</v>
      </c>
      <c r="B224" s="19">
        <v>46053</v>
      </c>
      <c r="C224" s="20">
        <f t="shared" si="6"/>
        <v>46023</v>
      </c>
      <c r="D224" s="17" t="s">
        <v>419</v>
      </c>
      <c r="E224" s="17" t="s">
        <v>16</v>
      </c>
      <c r="F224" s="17" t="s">
        <v>30</v>
      </c>
      <c r="G224" s="21">
        <v>2</v>
      </c>
      <c r="H224" s="12">
        <v>252.21</v>
      </c>
      <c r="I224" s="22">
        <v>0</v>
      </c>
      <c r="J224" s="12">
        <f t="shared" si="7"/>
        <v>504.42</v>
      </c>
      <c r="K224" s="17" t="s">
        <v>43</v>
      </c>
    </row>
    <row r="225" spans="1:11" x14ac:dyDescent="0.25">
      <c r="A225" s="17" t="s">
        <v>420</v>
      </c>
      <c r="B225" s="19">
        <v>46053</v>
      </c>
      <c r="C225" s="20">
        <f t="shared" si="6"/>
        <v>46023</v>
      </c>
      <c r="D225" s="17" t="s">
        <v>47</v>
      </c>
      <c r="E225" s="17" t="s">
        <v>25</v>
      </c>
      <c r="F225" s="17" t="s">
        <v>30</v>
      </c>
      <c r="G225" s="21">
        <v>3</v>
      </c>
      <c r="H225" s="12">
        <v>30.82</v>
      </c>
      <c r="I225" s="22">
        <v>0</v>
      </c>
      <c r="J225" s="12">
        <f t="shared" si="7"/>
        <v>92.46</v>
      </c>
      <c r="K225" s="17" t="s">
        <v>43</v>
      </c>
    </row>
    <row r="226" spans="1:11" x14ac:dyDescent="0.25">
      <c r="A226" s="17" t="s">
        <v>421</v>
      </c>
      <c r="B226" s="19">
        <v>46053</v>
      </c>
      <c r="C226" s="20">
        <f t="shared" si="6"/>
        <v>46023</v>
      </c>
      <c r="D226" s="17" t="s">
        <v>422</v>
      </c>
      <c r="E226" s="17" t="s">
        <v>21</v>
      </c>
      <c r="F226" s="17" t="s">
        <v>31</v>
      </c>
      <c r="G226" s="21">
        <v>2</v>
      </c>
      <c r="H226" s="12">
        <v>76.88</v>
      </c>
      <c r="I226" s="22">
        <v>0.1</v>
      </c>
      <c r="J226" s="12">
        <f t="shared" si="7"/>
        <v>138.38</v>
      </c>
      <c r="K226" s="17" t="s">
        <v>48</v>
      </c>
    </row>
    <row r="227" spans="1:11" x14ac:dyDescent="0.25">
      <c r="A227" s="17" t="s">
        <v>423</v>
      </c>
      <c r="B227" s="19">
        <v>46053</v>
      </c>
      <c r="C227" s="20">
        <f t="shared" si="6"/>
        <v>46023</v>
      </c>
      <c r="D227" s="17" t="s">
        <v>424</v>
      </c>
      <c r="E227" s="17" t="s">
        <v>26</v>
      </c>
      <c r="F227" s="17" t="s">
        <v>31</v>
      </c>
      <c r="G227" s="21">
        <v>4</v>
      </c>
      <c r="H227" s="12">
        <v>23.9</v>
      </c>
      <c r="I227" s="22">
        <v>0.1</v>
      </c>
      <c r="J227" s="12">
        <f t="shared" si="7"/>
        <v>86.04</v>
      </c>
      <c r="K227" s="17" t="s">
        <v>48</v>
      </c>
    </row>
    <row r="228" spans="1:11" x14ac:dyDescent="0.25">
      <c r="A228" s="17" t="s">
        <v>425</v>
      </c>
      <c r="B228" s="19">
        <v>46053</v>
      </c>
      <c r="C228" s="20">
        <f t="shared" si="6"/>
        <v>46023</v>
      </c>
      <c r="D228" s="17" t="s">
        <v>426</v>
      </c>
      <c r="E228" s="17" t="s">
        <v>26</v>
      </c>
      <c r="F228" s="17" t="s">
        <v>31</v>
      </c>
      <c r="G228" s="21">
        <v>3</v>
      </c>
      <c r="H228" s="12">
        <v>23.84</v>
      </c>
      <c r="I228" s="22">
        <v>0</v>
      </c>
      <c r="J228" s="12">
        <f t="shared" si="7"/>
        <v>71.52</v>
      </c>
      <c r="K228" s="17" t="s">
        <v>48</v>
      </c>
    </row>
    <row r="229" spans="1:11" x14ac:dyDescent="0.25">
      <c r="A229" s="17" t="s">
        <v>427</v>
      </c>
      <c r="B229" s="19">
        <v>46054</v>
      </c>
      <c r="C229" s="20">
        <f t="shared" si="6"/>
        <v>46054</v>
      </c>
      <c r="D229" s="17" t="s">
        <v>78</v>
      </c>
      <c r="E229" s="17" t="s">
        <v>18</v>
      </c>
      <c r="F229" s="17" t="s">
        <v>30</v>
      </c>
      <c r="G229" s="21">
        <v>4</v>
      </c>
      <c r="H229" s="12">
        <v>147.72</v>
      </c>
      <c r="I229" s="22">
        <v>0</v>
      </c>
      <c r="J229" s="12">
        <f t="shared" si="7"/>
        <v>590.88</v>
      </c>
      <c r="K229" s="17" t="s">
        <v>59</v>
      </c>
    </row>
    <row r="230" spans="1:11" x14ac:dyDescent="0.25">
      <c r="A230" s="17" t="s">
        <v>428</v>
      </c>
      <c r="B230" s="19">
        <v>46054</v>
      </c>
      <c r="C230" s="20">
        <f t="shared" si="6"/>
        <v>46054</v>
      </c>
      <c r="D230" s="17" t="s">
        <v>429</v>
      </c>
      <c r="E230" s="17" t="s">
        <v>22</v>
      </c>
      <c r="F230" s="17" t="s">
        <v>30</v>
      </c>
      <c r="G230" s="21">
        <v>1</v>
      </c>
      <c r="H230" s="12">
        <v>96.2</v>
      </c>
      <c r="I230" s="22">
        <v>0</v>
      </c>
      <c r="J230" s="12">
        <f t="shared" si="7"/>
        <v>96.2</v>
      </c>
      <c r="K230" s="17" t="s">
        <v>59</v>
      </c>
    </row>
    <row r="231" spans="1:11" x14ac:dyDescent="0.25">
      <c r="A231" s="17" t="s">
        <v>430</v>
      </c>
      <c r="B231" s="19">
        <v>46054</v>
      </c>
      <c r="C231" s="20">
        <f t="shared" si="6"/>
        <v>46054</v>
      </c>
      <c r="D231" s="17" t="s">
        <v>431</v>
      </c>
      <c r="E231" s="17" t="s">
        <v>20</v>
      </c>
      <c r="F231" s="17" t="s">
        <v>30</v>
      </c>
      <c r="G231" s="21">
        <v>2</v>
      </c>
      <c r="H231" s="12">
        <v>90.26</v>
      </c>
      <c r="I231" s="22">
        <v>0.05</v>
      </c>
      <c r="J231" s="12">
        <f t="shared" si="7"/>
        <v>171.49</v>
      </c>
      <c r="K231" s="17" t="s">
        <v>59</v>
      </c>
    </row>
    <row r="232" spans="1:11" x14ac:dyDescent="0.25">
      <c r="A232" s="17" t="s">
        <v>432</v>
      </c>
      <c r="B232" s="19">
        <v>46054</v>
      </c>
      <c r="C232" s="20">
        <f t="shared" si="6"/>
        <v>46054</v>
      </c>
      <c r="D232" s="17" t="s">
        <v>433</v>
      </c>
      <c r="E232" s="17" t="s">
        <v>26</v>
      </c>
      <c r="F232" s="17" t="s">
        <v>30</v>
      </c>
      <c r="G232" s="21">
        <v>3</v>
      </c>
      <c r="H232" s="12">
        <v>24.38</v>
      </c>
      <c r="I232" s="22">
        <v>0.15</v>
      </c>
      <c r="J232" s="12">
        <f t="shared" si="7"/>
        <v>62.17</v>
      </c>
      <c r="K232" s="17" t="s">
        <v>43</v>
      </c>
    </row>
    <row r="233" spans="1:11" x14ac:dyDescent="0.25">
      <c r="A233" s="17" t="s">
        <v>434</v>
      </c>
      <c r="B233" s="19">
        <v>46054</v>
      </c>
      <c r="C233" s="20">
        <f t="shared" si="6"/>
        <v>46054</v>
      </c>
      <c r="D233" s="17" t="s">
        <v>229</v>
      </c>
      <c r="E233" s="17" t="s">
        <v>17</v>
      </c>
      <c r="F233" s="17" t="s">
        <v>31</v>
      </c>
      <c r="G233" s="21">
        <v>4</v>
      </c>
      <c r="H233" s="12">
        <v>213.5</v>
      </c>
      <c r="I233" s="22">
        <v>0.1</v>
      </c>
      <c r="J233" s="12">
        <f t="shared" si="7"/>
        <v>768.6</v>
      </c>
      <c r="K233" s="17" t="s">
        <v>48</v>
      </c>
    </row>
    <row r="234" spans="1:11" x14ac:dyDescent="0.25">
      <c r="A234" s="17" t="s">
        <v>435</v>
      </c>
      <c r="B234" s="19">
        <v>46054</v>
      </c>
      <c r="C234" s="20">
        <f t="shared" si="6"/>
        <v>46054</v>
      </c>
      <c r="D234" s="17" t="s">
        <v>436</v>
      </c>
      <c r="E234" s="17" t="s">
        <v>16</v>
      </c>
      <c r="F234" s="17" t="s">
        <v>31</v>
      </c>
      <c r="G234" s="21">
        <v>3</v>
      </c>
      <c r="H234" s="12">
        <v>244.78</v>
      </c>
      <c r="I234" s="22">
        <v>0</v>
      </c>
      <c r="J234" s="12">
        <f t="shared" si="7"/>
        <v>734.34</v>
      </c>
      <c r="K234" s="17" t="s">
        <v>48</v>
      </c>
    </row>
    <row r="235" spans="1:11" x14ac:dyDescent="0.25">
      <c r="A235" s="17" t="s">
        <v>437</v>
      </c>
      <c r="B235" s="19">
        <v>46054</v>
      </c>
      <c r="C235" s="20">
        <f t="shared" si="6"/>
        <v>46054</v>
      </c>
      <c r="D235" s="17" t="s">
        <v>438</v>
      </c>
      <c r="E235" s="17" t="s">
        <v>18</v>
      </c>
      <c r="F235" s="17" t="s">
        <v>31</v>
      </c>
      <c r="G235" s="21">
        <v>1</v>
      </c>
      <c r="H235" s="12">
        <v>149.38</v>
      </c>
      <c r="I235" s="22">
        <v>0.15</v>
      </c>
      <c r="J235" s="12">
        <f t="shared" si="7"/>
        <v>126.97</v>
      </c>
      <c r="K235" s="17" t="s">
        <v>48</v>
      </c>
    </row>
    <row r="236" spans="1:11" x14ac:dyDescent="0.25">
      <c r="A236" s="17" t="s">
        <v>439</v>
      </c>
      <c r="B236" s="19">
        <v>46054</v>
      </c>
      <c r="C236" s="20">
        <f t="shared" si="6"/>
        <v>46054</v>
      </c>
      <c r="D236" s="17" t="s">
        <v>339</v>
      </c>
      <c r="E236" s="17" t="s">
        <v>20</v>
      </c>
      <c r="F236" s="17" t="s">
        <v>31</v>
      </c>
      <c r="G236" s="21">
        <v>1</v>
      </c>
      <c r="H236" s="12">
        <v>86.36</v>
      </c>
      <c r="I236" s="22">
        <v>0</v>
      </c>
      <c r="J236" s="12">
        <f t="shared" si="7"/>
        <v>86.36</v>
      </c>
      <c r="K236" s="17" t="s">
        <v>48</v>
      </c>
    </row>
    <row r="237" spans="1:11" x14ac:dyDescent="0.25">
      <c r="A237" s="17" t="s">
        <v>440</v>
      </c>
      <c r="B237" s="19">
        <v>46054</v>
      </c>
      <c r="C237" s="20">
        <f t="shared" si="6"/>
        <v>46054</v>
      </c>
      <c r="D237" s="17" t="s">
        <v>441</v>
      </c>
      <c r="E237" s="17" t="s">
        <v>23</v>
      </c>
      <c r="F237" s="17" t="s">
        <v>31</v>
      </c>
      <c r="G237" s="21">
        <v>1</v>
      </c>
      <c r="H237" s="12">
        <v>57.91</v>
      </c>
      <c r="I237" s="22">
        <v>0.15</v>
      </c>
      <c r="J237" s="12">
        <f t="shared" si="7"/>
        <v>49.22</v>
      </c>
      <c r="K237" s="17" t="s">
        <v>48</v>
      </c>
    </row>
    <row r="238" spans="1:11" x14ac:dyDescent="0.25">
      <c r="A238" s="17" t="s">
        <v>442</v>
      </c>
      <c r="B238" s="19">
        <v>46055</v>
      </c>
      <c r="C238" s="20">
        <f t="shared" si="6"/>
        <v>46054</v>
      </c>
      <c r="D238" s="17" t="s">
        <v>443</v>
      </c>
      <c r="E238" s="17" t="s">
        <v>27</v>
      </c>
      <c r="F238" s="17" t="s">
        <v>30</v>
      </c>
      <c r="G238" s="21">
        <v>2</v>
      </c>
      <c r="H238" s="12">
        <v>13.35</v>
      </c>
      <c r="I238" s="22">
        <v>0.15</v>
      </c>
      <c r="J238" s="12">
        <f t="shared" si="7"/>
        <v>22.7</v>
      </c>
      <c r="K238" s="17" t="s">
        <v>59</v>
      </c>
    </row>
    <row r="239" spans="1:11" x14ac:dyDescent="0.25">
      <c r="A239" s="17" t="s">
        <v>444</v>
      </c>
      <c r="B239" s="19">
        <v>46055</v>
      </c>
      <c r="C239" s="20">
        <f t="shared" si="6"/>
        <v>46054</v>
      </c>
      <c r="D239" s="17" t="s">
        <v>310</v>
      </c>
      <c r="E239" s="17" t="s">
        <v>24</v>
      </c>
      <c r="F239" s="17" t="s">
        <v>30</v>
      </c>
      <c r="G239" s="21">
        <v>3</v>
      </c>
      <c r="H239" s="12">
        <v>34.049999999999997</v>
      </c>
      <c r="I239" s="22">
        <v>0.15</v>
      </c>
      <c r="J239" s="12">
        <f t="shared" si="7"/>
        <v>86.83</v>
      </c>
      <c r="K239" s="17" t="s">
        <v>59</v>
      </c>
    </row>
    <row r="240" spans="1:11" x14ac:dyDescent="0.25">
      <c r="A240" s="17" t="s">
        <v>445</v>
      </c>
      <c r="B240" s="19">
        <v>46055</v>
      </c>
      <c r="C240" s="20">
        <f t="shared" si="6"/>
        <v>46054</v>
      </c>
      <c r="D240" s="17" t="s">
        <v>404</v>
      </c>
      <c r="E240" s="17" t="s">
        <v>25</v>
      </c>
      <c r="F240" s="17" t="s">
        <v>30</v>
      </c>
      <c r="G240" s="21">
        <v>3</v>
      </c>
      <c r="H240" s="12">
        <v>29.7</v>
      </c>
      <c r="I240" s="22">
        <v>0.1</v>
      </c>
      <c r="J240" s="12">
        <f t="shared" si="7"/>
        <v>80.19</v>
      </c>
      <c r="K240" s="17" t="s">
        <v>59</v>
      </c>
    </row>
    <row r="241" spans="1:11" x14ac:dyDescent="0.25">
      <c r="A241" s="17" t="s">
        <v>446</v>
      </c>
      <c r="B241" s="19">
        <v>46055</v>
      </c>
      <c r="C241" s="20">
        <f t="shared" si="6"/>
        <v>46054</v>
      </c>
      <c r="D241" s="17" t="s">
        <v>436</v>
      </c>
      <c r="E241" s="17" t="s">
        <v>26</v>
      </c>
      <c r="F241" s="17" t="s">
        <v>31</v>
      </c>
      <c r="G241" s="21">
        <v>1</v>
      </c>
      <c r="H241" s="12">
        <v>25.05</v>
      </c>
      <c r="I241" s="22">
        <v>0.05</v>
      </c>
      <c r="J241" s="12">
        <f t="shared" si="7"/>
        <v>23.8</v>
      </c>
      <c r="K241" s="17" t="s">
        <v>48</v>
      </c>
    </row>
    <row r="242" spans="1:11" x14ac:dyDescent="0.25">
      <c r="A242" s="17" t="s">
        <v>447</v>
      </c>
      <c r="B242" s="19">
        <v>46055</v>
      </c>
      <c r="C242" s="20">
        <f t="shared" si="6"/>
        <v>46054</v>
      </c>
      <c r="D242" s="17" t="s">
        <v>369</v>
      </c>
      <c r="E242" s="17" t="s">
        <v>20</v>
      </c>
      <c r="F242" s="17" t="s">
        <v>31</v>
      </c>
      <c r="G242" s="21">
        <v>2</v>
      </c>
      <c r="H242" s="12">
        <v>87.06</v>
      </c>
      <c r="I242" s="22">
        <v>0.15</v>
      </c>
      <c r="J242" s="12">
        <f t="shared" si="7"/>
        <v>148</v>
      </c>
      <c r="K242" s="17" t="s">
        <v>48</v>
      </c>
    </row>
    <row r="243" spans="1:11" x14ac:dyDescent="0.25">
      <c r="A243" s="17" t="s">
        <v>448</v>
      </c>
      <c r="B243" s="19">
        <v>46055</v>
      </c>
      <c r="C243" s="20">
        <f t="shared" si="6"/>
        <v>46054</v>
      </c>
      <c r="D243" s="17" t="s">
        <v>261</v>
      </c>
      <c r="E243" s="17" t="s">
        <v>16</v>
      </c>
      <c r="F243" s="17" t="s">
        <v>31</v>
      </c>
      <c r="G243" s="21">
        <v>2</v>
      </c>
      <c r="H243" s="12">
        <v>252.5</v>
      </c>
      <c r="I243" s="22">
        <v>0.15</v>
      </c>
      <c r="J243" s="12">
        <f t="shared" si="7"/>
        <v>429.25</v>
      </c>
      <c r="K243" s="17" t="s">
        <v>48</v>
      </c>
    </row>
    <row r="244" spans="1:11" x14ac:dyDescent="0.25">
      <c r="A244" s="17" t="s">
        <v>449</v>
      </c>
      <c r="B244" s="19">
        <v>46056</v>
      </c>
      <c r="C244" s="20">
        <f t="shared" si="6"/>
        <v>46054</v>
      </c>
      <c r="D244" s="17" t="s">
        <v>450</v>
      </c>
      <c r="E244" s="17" t="s">
        <v>24</v>
      </c>
      <c r="F244" s="17" t="s">
        <v>30</v>
      </c>
      <c r="G244" s="21">
        <v>4</v>
      </c>
      <c r="H244" s="12">
        <v>34.25</v>
      </c>
      <c r="I244" s="22">
        <v>0.1</v>
      </c>
      <c r="J244" s="12">
        <f t="shared" si="7"/>
        <v>123.3</v>
      </c>
      <c r="K244" s="17" t="s">
        <v>59</v>
      </c>
    </row>
    <row r="245" spans="1:11" x14ac:dyDescent="0.25">
      <c r="A245" s="17" t="s">
        <v>451</v>
      </c>
      <c r="B245" s="19">
        <v>46056</v>
      </c>
      <c r="C245" s="20">
        <f t="shared" si="6"/>
        <v>46054</v>
      </c>
      <c r="D245" s="17" t="s">
        <v>452</v>
      </c>
      <c r="E245" s="17" t="s">
        <v>27</v>
      </c>
      <c r="F245" s="17" t="s">
        <v>30</v>
      </c>
      <c r="G245" s="21">
        <v>1</v>
      </c>
      <c r="H245" s="12">
        <v>12.62</v>
      </c>
      <c r="I245" s="22">
        <v>0</v>
      </c>
      <c r="J245" s="12">
        <f t="shared" si="7"/>
        <v>12.62</v>
      </c>
      <c r="K245" s="17" t="s">
        <v>59</v>
      </c>
    </row>
    <row r="246" spans="1:11" x14ac:dyDescent="0.25">
      <c r="A246" s="17" t="s">
        <v>453</v>
      </c>
      <c r="B246" s="19">
        <v>46056</v>
      </c>
      <c r="C246" s="20">
        <f t="shared" si="6"/>
        <v>46054</v>
      </c>
      <c r="D246" s="17" t="s">
        <v>249</v>
      </c>
      <c r="E246" s="17" t="s">
        <v>20</v>
      </c>
      <c r="F246" s="17" t="s">
        <v>30</v>
      </c>
      <c r="G246" s="21">
        <v>5</v>
      </c>
      <c r="H246" s="12">
        <v>87.12</v>
      </c>
      <c r="I246" s="22">
        <v>0.05</v>
      </c>
      <c r="J246" s="12">
        <f t="shared" si="7"/>
        <v>413.82</v>
      </c>
      <c r="K246" s="17" t="s">
        <v>43</v>
      </c>
    </row>
    <row r="247" spans="1:11" x14ac:dyDescent="0.25">
      <c r="A247" s="17" t="s">
        <v>454</v>
      </c>
      <c r="B247" s="19">
        <v>46056</v>
      </c>
      <c r="C247" s="20">
        <f t="shared" si="6"/>
        <v>46054</v>
      </c>
      <c r="D247" s="17" t="s">
        <v>455</v>
      </c>
      <c r="E247" s="17" t="s">
        <v>21</v>
      </c>
      <c r="F247" s="17" t="s">
        <v>30</v>
      </c>
      <c r="G247" s="21">
        <v>2</v>
      </c>
      <c r="H247" s="12">
        <v>79.569999999999993</v>
      </c>
      <c r="I247" s="22">
        <v>0</v>
      </c>
      <c r="J247" s="12">
        <f t="shared" si="7"/>
        <v>159.13999999999999</v>
      </c>
      <c r="K247" s="17" t="s">
        <v>43</v>
      </c>
    </row>
    <row r="248" spans="1:11" x14ac:dyDescent="0.25">
      <c r="A248" s="17" t="s">
        <v>456</v>
      </c>
      <c r="B248" s="19">
        <v>46056</v>
      </c>
      <c r="C248" s="20">
        <f t="shared" si="6"/>
        <v>46054</v>
      </c>
      <c r="D248" s="17" t="s">
        <v>157</v>
      </c>
      <c r="E248" s="17" t="s">
        <v>16</v>
      </c>
      <c r="F248" s="17" t="s">
        <v>31</v>
      </c>
      <c r="G248" s="21">
        <v>2</v>
      </c>
      <c r="H248" s="12">
        <v>245.41</v>
      </c>
      <c r="I248" s="22">
        <v>0.1</v>
      </c>
      <c r="J248" s="12">
        <f t="shared" si="7"/>
        <v>441.74</v>
      </c>
      <c r="K248" s="17" t="s">
        <v>48</v>
      </c>
    </row>
    <row r="249" spans="1:11" x14ac:dyDescent="0.25">
      <c r="A249" s="17" t="s">
        <v>457</v>
      </c>
      <c r="B249" s="19">
        <v>46056</v>
      </c>
      <c r="C249" s="20">
        <f t="shared" si="6"/>
        <v>46054</v>
      </c>
      <c r="D249" s="17" t="s">
        <v>395</v>
      </c>
      <c r="E249" s="17" t="s">
        <v>27</v>
      </c>
      <c r="F249" s="17" t="s">
        <v>31</v>
      </c>
      <c r="G249" s="21">
        <v>5</v>
      </c>
      <c r="H249" s="12">
        <v>12.83</v>
      </c>
      <c r="I249" s="22">
        <v>0</v>
      </c>
      <c r="J249" s="12">
        <f t="shared" si="7"/>
        <v>64.150000000000006</v>
      </c>
      <c r="K249" s="17" t="s">
        <v>48</v>
      </c>
    </row>
    <row r="250" spans="1:11" x14ac:dyDescent="0.25">
      <c r="A250" s="17" t="s">
        <v>458</v>
      </c>
      <c r="B250" s="19">
        <v>46057</v>
      </c>
      <c r="C250" s="20">
        <f t="shared" si="6"/>
        <v>46054</v>
      </c>
      <c r="D250" s="17" t="s">
        <v>94</v>
      </c>
      <c r="E250" s="17" t="s">
        <v>19</v>
      </c>
      <c r="F250" s="17" t="s">
        <v>30</v>
      </c>
      <c r="G250" s="21">
        <v>1</v>
      </c>
      <c r="H250" s="12">
        <v>129.31</v>
      </c>
      <c r="I250" s="22">
        <v>0.1</v>
      </c>
      <c r="J250" s="12">
        <f t="shared" si="7"/>
        <v>116.38</v>
      </c>
      <c r="K250" s="17" t="s">
        <v>59</v>
      </c>
    </row>
    <row r="251" spans="1:11" x14ac:dyDescent="0.25">
      <c r="A251" s="17" t="s">
        <v>459</v>
      </c>
      <c r="B251" s="19">
        <v>46057</v>
      </c>
      <c r="C251" s="20">
        <f t="shared" si="6"/>
        <v>46054</v>
      </c>
      <c r="D251" s="17" t="s">
        <v>460</v>
      </c>
      <c r="E251" s="17" t="s">
        <v>25</v>
      </c>
      <c r="F251" s="17" t="s">
        <v>30</v>
      </c>
      <c r="G251" s="21">
        <v>1</v>
      </c>
      <c r="H251" s="12">
        <v>29.44</v>
      </c>
      <c r="I251" s="22">
        <v>0.05</v>
      </c>
      <c r="J251" s="12">
        <f t="shared" si="7"/>
        <v>27.97</v>
      </c>
      <c r="K251" s="17" t="s">
        <v>59</v>
      </c>
    </row>
    <row r="252" spans="1:11" x14ac:dyDescent="0.25">
      <c r="A252" s="17" t="s">
        <v>461</v>
      </c>
      <c r="B252" s="19">
        <v>46057</v>
      </c>
      <c r="C252" s="20">
        <f t="shared" si="6"/>
        <v>46054</v>
      </c>
      <c r="D252" s="17" t="s">
        <v>242</v>
      </c>
      <c r="E252" s="17" t="s">
        <v>20</v>
      </c>
      <c r="F252" s="17" t="s">
        <v>30</v>
      </c>
      <c r="G252" s="21">
        <v>1</v>
      </c>
      <c r="H252" s="12">
        <v>88.74</v>
      </c>
      <c r="I252" s="22">
        <v>0</v>
      </c>
      <c r="J252" s="12">
        <f t="shared" si="7"/>
        <v>88.74</v>
      </c>
      <c r="K252" s="17" t="s">
        <v>59</v>
      </c>
    </row>
    <row r="253" spans="1:11" x14ac:dyDescent="0.25">
      <c r="A253" s="17" t="s">
        <v>462</v>
      </c>
      <c r="B253" s="19">
        <v>46057</v>
      </c>
      <c r="C253" s="20">
        <f t="shared" si="6"/>
        <v>46054</v>
      </c>
      <c r="D253" s="17" t="s">
        <v>463</v>
      </c>
      <c r="E253" s="17" t="s">
        <v>21</v>
      </c>
      <c r="F253" s="17" t="s">
        <v>30</v>
      </c>
      <c r="G253" s="21">
        <v>1</v>
      </c>
      <c r="H253" s="12">
        <v>80.819999999999993</v>
      </c>
      <c r="I253" s="22">
        <v>0</v>
      </c>
      <c r="J253" s="12">
        <f t="shared" si="7"/>
        <v>80.819999999999993</v>
      </c>
      <c r="K253" s="17" t="s">
        <v>59</v>
      </c>
    </row>
    <row r="254" spans="1:11" x14ac:dyDescent="0.25">
      <c r="A254" s="17" t="s">
        <v>464</v>
      </c>
      <c r="B254" s="19">
        <v>46057</v>
      </c>
      <c r="C254" s="20">
        <f t="shared" si="6"/>
        <v>46054</v>
      </c>
      <c r="D254" s="17" t="s">
        <v>465</v>
      </c>
      <c r="E254" s="17" t="s">
        <v>19</v>
      </c>
      <c r="F254" s="17" t="s">
        <v>30</v>
      </c>
      <c r="G254" s="21">
        <v>2</v>
      </c>
      <c r="H254" s="12">
        <v>126.13</v>
      </c>
      <c r="I254" s="22">
        <v>0</v>
      </c>
      <c r="J254" s="12">
        <f t="shared" si="7"/>
        <v>252.26</v>
      </c>
      <c r="K254" s="17" t="s">
        <v>43</v>
      </c>
    </row>
    <row r="255" spans="1:11" x14ac:dyDescent="0.25">
      <c r="A255" s="17" t="s">
        <v>466</v>
      </c>
      <c r="B255" s="19">
        <v>46057</v>
      </c>
      <c r="C255" s="20">
        <f t="shared" si="6"/>
        <v>46054</v>
      </c>
      <c r="D255" s="17" t="s">
        <v>467</v>
      </c>
      <c r="E255" s="17" t="s">
        <v>24</v>
      </c>
      <c r="F255" s="17" t="s">
        <v>30</v>
      </c>
      <c r="G255" s="21">
        <v>3</v>
      </c>
      <c r="H255" s="12">
        <v>34.35</v>
      </c>
      <c r="I255" s="22">
        <v>0.1</v>
      </c>
      <c r="J255" s="12">
        <f t="shared" si="7"/>
        <v>92.75</v>
      </c>
      <c r="K255" s="17" t="s">
        <v>43</v>
      </c>
    </row>
    <row r="256" spans="1:11" x14ac:dyDescent="0.25">
      <c r="A256" s="17" t="s">
        <v>468</v>
      </c>
      <c r="B256" s="19">
        <v>46057</v>
      </c>
      <c r="C256" s="20">
        <f t="shared" si="6"/>
        <v>46054</v>
      </c>
      <c r="D256" s="17" t="s">
        <v>469</v>
      </c>
      <c r="E256" s="17" t="s">
        <v>20</v>
      </c>
      <c r="F256" s="17" t="s">
        <v>31</v>
      </c>
      <c r="G256" s="21">
        <v>2</v>
      </c>
      <c r="H256" s="12">
        <v>88.13</v>
      </c>
      <c r="I256" s="22">
        <v>0</v>
      </c>
      <c r="J256" s="12">
        <f t="shared" si="7"/>
        <v>176.26</v>
      </c>
      <c r="K256" s="17" t="s">
        <v>48</v>
      </c>
    </row>
    <row r="257" spans="1:11" x14ac:dyDescent="0.25">
      <c r="A257" s="17" t="s">
        <v>470</v>
      </c>
      <c r="B257" s="19">
        <v>46057</v>
      </c>
      <c r="C257" s="20">
        <f t="shared" si="6"/>
        <v>46054</v>
      </c>
      <c r="D257" s="17" t="s">
        <v>194</v>
      </c>
      <c r="E257" s="17" t="s">
        <v>17</v>
      </c>
      <c r="F257" s="17" t="s">
        <v>31</v>
      </c>
      <c r="G257" s="21">
        <v>1</v>
      </c>
      <c r="H257" s="12">
        <v>213.47</v>
      </c>
      <c r="I257" s="22">
        <v>0.15</v>
      </c>
      <c r="J257" s="12">
        <f t="shared" si="7"/>
        <v>181.45</v>
      </c>
      <c r="K257" s="17" t="s">
        <v>48</v>
      </c>
    </row>
    <row r="258" spans="1:11" x14ac:dyDescent="0.25">
      <c r="A258" s="17" t="s">
        <v>471</v>
      </c>
      <c r="B258" s="19">
        <v>46057</v>
      </c>
      <c r="C258" s="20">
        <f t="shared" ref="C258:C321" si="8">DATE(YEAR(B258),MONTH(B258),1)</f>
        <v>46054</v>
      </c>
      <c r="D258" s="17" t="s">
        <v>187</v>
      </c>
      <c r="E258" s="17" t="s">
        <v>26</v>
      </c>
      <c r="F258" s="17" t="s">
        <v>31</v>
      </c>
      <c r="G258" s="21">
        <v>1</v>
      </c>
      <c r="H258" s="12">
        <v>25.17</v>
      </c>
      <c r="I258" s="22">
        <v>0.05</v>
      </c>
      <c r="J258" s="12">
        <f t="shared" ref="J258:J321" si="9">ROUND(G258*H258*(1-I258),2)</f>
        <v>23.91</v>
      </c>
      <c r="K258" s="17" t="s">
        <v>48</v>
      </c>
    </row>
    <row r="259" spans="1:11" x14ac:dyDescent="0.25">
      <c r="A259" s="17" t="s">
        <v>472</v>
      </c>
      <c r="B259" s="19">
        <v>46057</v>
      </c>
      <c r="C259" s="20">
        <f t="shared" si="8"/>
        <v>46054</v>
      </c>
      <c r="D259" s="17" t="s">
        <v>473</v>
      </c>
      <c r="E259" s="17" t="s">
        <v>21</v>
      </c>
      <c r="F259" s="17" t="s">
        <v>31</v>
      </c>
      <c r="G259" s="21">
        <v>1</v>
      </c>
      <c r="H259" s="12">
        <v>77.62</v>
      </c>
      <c r="I259" s="22">
        <v>0.1</v>
      </c>
      <c r="J259" s="12">
        <f t="shared" si="9"/>
        <v>69.86</v>
      </c>
      <c r="K259" s="17" t="s">
        <v>48</v>
      </c>
    </row>
    <row r="260" spans="1:11" x14ac:dyDescent="0.25">
      <c r="A260" s="17" t="s">
        <v>474</v>
      </c>
      <c r="B260" s="19">
        <v>46058</v>
      </c>
      <c r="C260" s="20">
        <f t="shared" si="8"/>
        <v>46054</v>
      </c>
      <c r="D260" s="17" t="s">
        <v>398</v>
      </c>
      <c r="E260" s="17" t="s">
        <v>18</v>
      </c>
      <c r="F260" s="17" t="s">
        <v>30</v>
      </c>
      <c r="G260" s="21">
        <v>2</v>
      </c>
      <c r="H260" s="12">
        <v>145.34</v>
      </c>
      <c r="I260" s="22">
        <v>0</v>
      </c>
      <c r="J260" s="12">
        <f t="shared" si="9"/>
        <v>290.68</v>
      </c>
      <c r="K260" s="17" t="s">
        <v>59</v>
      </c>
    </row>
    <row r="261" spans="1:11" x14ac:dyDescent="0.25">
      <c r="A261" s="17" t="s">
        <v>475</v>
      </c>
      <c r="B261" s="19">
        <v>46058</v>
      </c>
      <c r="C261" s="20">
        <f t="shared" si="8"/>
        <v>46054</v>
      </c>
      <c r="D261" s="17" t="s">
        <v>185</v>
      </c>
      <c r="E261" s="17" t="s">
        <v>27</v>
      </c>
      <c r="F261" s="17" t="s">
        <v>30</v>
      </c>
      <c r="G261" s="21">
        <v>1</v>
      </c>
      <c r="H261" s="12">
        <v>12.65</v>
      </c>
      <c r="I261" s="22">
        <v>0.1</v>
      </c>
      <c r="J261" s="12">
        <f t="shared" si="9"/>
        <v>11.39</v>
      </c>
      <c r="K261" s="17" t="s">
        <v>59</v>
      </c>
    </row>
    <row r="262" spans="1:11" x14ac:dyDescent="0.25">
      <c r="A262" s="17" t="s">
        <v>476</v>
      </c>
      <c r="B262" s="19">
        <v>46058</v>
      </c>
      <c r="C262" s="20">
        <f t="shared" si="8"/>
        <v>46054</v>
      </c>
      <c r="D262" s="17" t="s">
        <v>477</v>
      </c>
      <c r="E262" s="17" t="s">
        <v>19</v>
      </c>
      <c r="F262" s="17" t="s">
        <v>30</v>
      </c>
      <c r="G262" s="21">
        <v>2</v>
      </c>
      <c r="H262" s="12">
        <v>126.57</v>
      </c>
      <c r="I262" s="22">
        <v>0.05</v>
      </c>
      <c r="J262" s="12">
        <f t="shared" si="9"/>
        <v>240.48</v>
      </c>
      <c r="K262" s="17" t="s">
        <v>59</v>
      </c>
    </row>
    <row r="263" spans="1:11" x14ac:dyDescent="0.25">
      <c r="A263" s="17" t="s">
        <v>478</v>
      </c>
      <c r="B263" s="19">
        <v>46058</v>
      </c>
      <c r="C263" s="20">
        <f t="shared" si="8"/>
        <v>46054</v>
      </c>
      <c r="D263" s="17" t="s">
        <v>251</v>
      </c>
      <c r="E263" s="17" t="s">
        <v>23</v>
      </c>
      <c r="F263" s="17" t="s">
        <v>30</v>
      </c>
      <c r="G263" s="21">
        <v>1</v>
      </c>
      <c r="H263" s="12">
        <v>59.85</v>
      </c>
      <c r="I263" s="22">
        <v>0.15</v>
      </c>
      <c r="J263" s="12">
        <f t="shared" si="9"/>
        <v>50.87</v>
      </c>
      <c r="K263" s="17" t="s">
        <v>59</v>
      </c>
    </row>
    <row r="264" spans="1:11" x14ac:dyDescent="0.25">
      <c r="A264" s="17" t="s">
        <v>479</v>
      </c>
      <c r="B264" s="19">
        <v>46058</v>
      </c>
      <c r="C264" s="20">
        <f t="shared" si="8"/>
        <v>46054</v>
      </c>
      <c r="D264" s="17" t="s">
        <v>480</v>
      </c>
      <c r="E264" s="17" t="s">
        <v>24</v>
      </c>
      <c r="F264" s="17" t="s">
        <v>31</v>
      </c>
      <c r="G264" s="21">
        <v>1</v>
      </c>
      <c r="H264" s="12">
        <v>35.409999999999997</v>
      </c>
      <c r="I264" s="22">
        <v>0</v>
      </c>
      <c r="J264" s="12">
        <f t="shared" si="9"/>
        <v>35.409999999999997</v>
      </c>
      <c r="K264" s="17" t="s">
        <v>48</v>
      </c>
    </row>
    <row r="265" spans="1:11" x14ac:dyDescent="0.25">
      <c r="A265" s="17" t="s">
        <v>481</v>
      </c>
      <c r="B265" s="19">
        <v>46058</v>
      </c>
      <c r="C265" s="20">
        <f t="shared" si="8"/>
        <v>46054</v>
      </c>
      <c r="D265" s="17" t="s">
        <v>247</v>
      </c>
      <c r="E265" s="17" t="s">
        <v>26</v>
      </c>
      <c r="F265" s="17" t="s">
        <v>31</v>
      </c>
      <c r="G265" s="21">
        <v>2</v>
      </c>
      <c r="H265" s="12">
        <v>25.07</v>
      </c>
      <c r="I265" s="22">
        <v>0.05</v>
      </c>
      <c r="J265" s="12">
        <f t="shared" si="9"/>
        <v>47.63</v>
      </c>
      <c r="K265" s="17" t="s">
        <v>48</v>
      </c>
    </row>
    <row r="266" spans="1:11" x14ac:dyDescent="0.25">
      <c r="A266" s="17" t="s">
        <v>482</v>
      </c>
      <c r="B266" s="19">
        <v>46059</v>
      </c>
      <c r="C266" s="20">
        <f t="shared" si="8"/>
        <v>46054</v>
      </c>
      <c r="D266" s="17" t="s">
        <v>483</v>
      </c>
      <c r="E266" s="17" t="s">
        <v>20</v>
      </c>
      <c r="F266" s="17" t="s">
        <v>30</v>
      </c>
      <c r="G266" s="21">
        <v>1</v>
      </c>
      <c r="H266" s="12">
        <v>88.07</v>
      </c>
      <c r="I266" s="22">
        <v>0.1</v>
      </c>
      <c r="J266" s="12">
        <f t="shared" si="9"/>
        <v>79.260000000000005</v>
      </c>
      <c r="K266" s="17" t="s">
        <v>59</v>
      </c>
    </row>
    <row r="267" spans="1:11" x14ac:dyDescent="0.25">
      <c r="A267" s="17" t="s">
        <v>484</v>
      </c>
      <c r="B267" s="19">
        <v>46059</v>
      </c>
      <c r="C267" s="20">
        <f t="shared" si="8"/>
        <v>46054</v>
      </c>
      <c r="D267" s="17" t="s">
        <v>485</v>
      </c>
      <c r="E267" s="17" t="s">
        <v>22</v>
      </c>
      <c r="F267" s="17" t="s">
        <v>30</v>
      </c>
      <c r="G267" s="21">
        <v>5</v>
      </c>
      <c r="H267" s="12">
        <v>98.09</v>
      </c>
      <c r="I267" s="22">
        <v>0</v>
      </c>
      <c r="J267" s="12">
        <f t="shared" si="9"/>
        <v>490.45</v>
      </c>
      <c r="K267" s="17" t="s">
        <v>59</v>
      </c>
    </row>
    <row r="268" spans="1:11" x14ac:dyDescent="0.25">
      <c r="A268" s="17" t="s">
        <v>486</v>
      </c>
      <c r="B268" s="19">
        <v>46059</v>
      </c>
      <c r="C268" s="20">
        <f t="shared" si="8"/>
        <v>46054</v>
      </c>
      <c r="D268" s="17" t="s">
        <v>487</v>
      </c>
      <c r="E268" s="17" t="s">
        <v>17</v>
      </c>
      <c r="F268" s="17" t="s">
        <v>30</v>
      </c>
      <c r="G268" s="21">
        <v>2</v>
      </c>
      <c r="H268" s="12">
        <v>222.93</v>
      </c>
      <c r="I268" s="22">
        <v>0</v>
      </c>
      <c r="J268" s="12">
        <f t="shared" si="9"/>
        <v>445.86</v>
      </c>
      <c r="K268" s="17" t="s">
        <v>59</v>
      </c>
    </row>
    <row r="269" spans="1:11" x14ac:dyDescent="0.25">
      <c r="A269" s="17" t="s">
        <v>488</v>
      </c>
      <c r="B269" s="19">
        <v>46059</v>
      </c>
      <c r="C269" s="20">
        <f t="shared" si="8"/>
        <v>46054</v>
      </c>
      <c r="D269" s="17" t="s">
        <v>127</v>
      </c>
      <c r="E269" s="17" t="s">
        <v>22</v>
      </c>
      <c r="F269" s="17" t="s">
        <v>30</v>
      </c>
      <c r="G269" s="21">
        <v>1</v>
      </c>
      <c r="H269" s="12">
        <v>96.24</v>
      </c>
      <c r="I269" s="22">
        <v>0</v>
      </c>
      <c r="J269" s="12">
        <f t="shared" si="9"/>
        <v>96.24</v>
      </c>
      <c r="K269" s="17" t="s">
        <v>43</v>
      </c>
    </row>
    <row r="270" spans="1:11" x14ac:dyDescent="0.25">
      <c r="A270" s="17" t="s">
        <v>489</v>
      </c>
      <c r="B270" s="19">
        <v>46059</v>
      </c>
      <c r="C270" s="20">
        <f t="shared" si="8"/>
        <v>46054</v>
      </c>
      <c r="D270" s="17" t="s">
        <v>301</v>
      </c>
      <c r="E270" s="17" t="s">
        <v>23</v>
      </c>
      <c r="F270" s="17" t="s">
        <v>30</v>
      </c>
      <c r="G270" s="21">
        <v>1</v>
      </c>
      <c r="H270" s="12">
        <v>57.52</v>
      </c>
      <c r="I270" s="22">
        <v>0.15</v>
      </c>
      <c r="J270" s="12">
        <f t="shared" si="9"/>
        <v>48.89</v>
      </c>
      <c r="K270" s="17" t="s">
        <v>43</v>
      </c>
    </row>
    <row r="271" spans="1:11" x14ac:dyDescent="0.25">
      <c r="A271" s="17" t="s">
        <v>490</v>
      </c>
      <c r="B271" s="19">
        <v>46059</v>
      </c>
      <c r="C271" s="20">
        <f t="shared" si="8"/>
        <v>46054</v>
      </c>
      <c r="D271" s="17" t="s">
        <v>443</v>
      </c>
      <c r="E271" s="17" t="s">
        <v>20</v>
      </c>
      <c r="F271" s="17" t="s">
        <v>30</v>
      </c>
      <c r="G271" s="21">
        <v>1</v>
      </c>
      <c r="H271" s="12">
        <v>90.67</v>
      </c>
      <c r="I271" s="22">
        <v>0.15</v>
      </c>
      <c r="J271" s="12">
        <f t="shared" si="9"/>
        <v>77.069999999999993</v>
      </c>
      <c r="K271" s="17" t="s">
        <v>43</v>
      </c>
    </row>
    <row r="272" spans="1:11" x14ac:dyDescent="0.25">
      <c r="A272" s="17" t="s">
        <v>491</v>
      </c>
      <c r="B272" s="19">
        <v>46059</v>
      </c>
      <c r="C272" s="20">
        <f t="shared" si="8"/>
        <v>46054</v>
      </c>
      <c r="D272" s="17" t="s">
        <v>492</v>
      </c>
      <c r="E272" s="17" t="s">
        <v>20</v>
      </c>
      <c r="F272" s="17" t="s">
        <v>31</v>
      </c>
      <c r="G272" s="21">
        <v>4</v>
      </c>
      <c r="H272" s="12">
        <v>87.01</v>
      </c>
      <c r="I272" s="22">
        <v>0.15</v>
      </c>
      <c r="J272" s="12">
        <f t="shared" si="9"/>
        <v>295.83</v>
      </c>
      <c r="K272" s="17" t="s">
        <v>48</v>
      </c>
    </row>
    <row r="273" spans="1:11" x14ac:dyDescent="0.25">
      <c r="A273" s="17" t="s">
        <v>493</v>
      </c>
      <c r="B273" s="19">
        <v>46059</v>
      </c>
      <c r="C273" s="20">
        <f t="shared" si="8"/>
        <v>46054</v>
      </c>
      <c r="D273" s="17" t="s">
        <v>494</v>
      </c>
      <c r="E273" s="17" t="s">
        <v>18</v>
      </c>
      <c r="F273" s="17" t="s">
        <v>31</v>
      </c>
      <c r="G273" s="21">
        <v>5</v>
      </c>
      <c r="H273" s="12">
        <v>144.86000000000001</v>
      </c>
      <c r="I273" s="22">
        <v>0</v>
      </c>
      <c r="J273" s="12">
        <f t="shared" si="9"/>
        <v>724.3</v>
      </c>
      <c r="K273" s="17" t="s">
        <v>48</v>
      </c>
    </row>
    <row r="274" spans="1:11" x14ac:dyDescent="0.25">
      <c r="A274" s="17" t="s">
        <v>495</v>
      </c>
      <c r="B274" s="19">
        <v>46059</v>
      </c>
      <c r="C274" s="20">
        <f t="shared" si="8"/>
        <v>46054</v>
      </c>
      <c r="D274" s="17" t="s">
        <v>496</v>
      </c>
      <c r="E274" s="17" t="s">
        <v>17</v>
      </c>
      <c r="F274" s="17" t="s">
        <v>31</v>
      </c>
      <c r="G274" s="21">
        <v>5</v>
      </c>
      <c r="H274" s="12">
        <v>214.63</v>
      </c>
      <c r="I274" s="22">
        <v>0</v>
      </c>
      <c r="J274" s="12">
        <f t="shared" si="9"/>
        <v>1073.1500000000001</v>
      </c>
      <c r="K274" s="17" t="s">
        <v>48</v>
      </c>
    </row>
    <row r="275" spans="1:11" x14ac:dyDescent="0.25">
      <c r="A275" s="17" t="s">
        <v>497</v>
      </c>
      <c r="B275" s="19">
        <v>46059</v>
      </c>
      <c r="C275" s="20">
        <f t="shared" si="8"/>
        <v>46054</v>
      </c>
      <c r="D275" s="17" t="s">
        <v>118</v>
      </c>
      <c r="E275" s="17" t="s">
        <v>16</v>
      </c>
      <c r="F275" s="17" t="s">
        <v>31</v>
      </c>
      <c r="G275" s="21">
        <v>2</v>
      </c>
      <c r="H275" s="12">
        <v>247.11</v>
      </c>
      <c r="I275" s="22">
        <v>0.15</v>
      </c>
      <c r="J275" s="12">
        <f t="shared" si="9"/>
        <v>420.09</v>
      </c>
      <c r="K275" s="17" t="s">
        <v>48</v>
      </c>
    </row>
    <row r="276" spans="1:11" x14ac:dyDescent="0.25">
      <c r="A276" s="17" t="s">
        <v>498</v>
      </c>
      <c r="B276" s="19">
        <v>46059</v>
      </c>
      <c r="C276" s="20">
        <f t="shared" si="8"/>
        <v>46054</v>
      </c>
      <c r="D276" s="17" t="s">
        <v>499</v>
      </c>
      <c r="E276" s="17" t="s">
        <v>19</v>
      </c>
      <c r="F276" s="17" t="s">
        <v>31</v>
      </c>
      <c r="G276" s="21">
        <v>3</v>
      </c>
      <c r="H276" s="12">
        <v>127.11</v>
      </c>
      <c r="I276" s="22">
        <v>0</v>
      </c>
      <c r="J276" s="12">
        <f t="shared" si="9"/>
        <v>381.33</v>
      </c>
      <c r="K276" s="17" t="s">
        <v>48</v>
      </c>
    </row>
    <row r="277" spans="1:11" x14ac:dyDescent="0.25">
      <c r="A277" s="17" t="s">
        <v>500</v>
      </c>
      <c r="B277" s="19">
        <v>46060</v>
      </c>
      <c r="C277" s="20">
        <f t="shared" si="8"/>
        <v>46054</v>
      </c>
      <c r="D277" s="17" t="s">
        <v>229</v>
      </c>
      <c r="E277" s="17" t="s">
        <v>23</v>
      </c>
      <c r="F277" s="17" t="s">
        <v>30</v>
      </c>
      <c r="G277" s="21">
        <v>2</v>
      </c>
      <c r="H277" s="12">
        <v>60.69</v>
      </c>
      <c r="I277" s="22">
        <v>0</v>
      </c>
      <c r="J277" s="12">
        <f t="shared" si="9"/>
        <v>121.38</v>
      </c>
      <c r="K277" s="17" t="s">
        <v>59</v>
      </c>
    </row>
    <row r="278" spans="1:11" x14ac:dyDescent="0.25">
      <c r="A278" s="17" t="s">
        <v>501</v>
      </c>
      <c r="B278" s="19">
        <v>46060</v>
      </c>
      <c r="C278" s="20">
        <f t="shared" si="8"/>
        <v>46054</v>
      </c>
      <c r="D278" s="17" t="s">
        <v>502</v>
      </c>
      <c r="E278" s="17" t="s">
        <v>25</v>
      </c>
      <c r="F278" s="17" t="s">
        <v>30</v>
      </c>
      <c r="G278" s="21">
        <v>2</v>
      </c>
      <c r="H278" s="12">
        <v>30.83</v>
      </c>
      <c r="I278" s="22">
        <v>0</v>
      </c>
      <c r="J278" s="12">
        <f t="shared" si="9"/>
        <v>61.66</v>
      </c>
      <c r="K278" s="17" t="s">
        <v>59</v>
      </c>
    </row>
    <row r="279" spans="1:11" x14ac:dyDescent="0.25">
      <c r="A279" s="17" t="s">
        <v>503</v>
      </c>
      <c r="B279" s="19">
        <v>46060</v>
      </c>
      <c r="C279" s="20">
        <f t="shared" si="8"/>
        <v>46054</v>
      </c>
      <c r="D279" s="17" t="s">
        <v>116</v>
      </c>
      <c r="E279" s="17" t="s">
        <v>18</v>
      </c>
      <c r="F279" s="17" t="s">
        <v>30</v>
      </c>
      <c r="G279" s="21">
        <v>1</v>
      </c>
      <c r="H279" s="12">
        <v>148.49</v>
      </c>
      <c r="I279" s="22">
        <v>0</v>
      </c>
      <c r="J279" s="12">
        <f t="shared" si="9"/>
        <v>148.49</v>
      </c>
      <c r="K279" s="17" t="s">
        <v>43</v>
      </c>
    </row>
    <row r="280" spans="1:11" x14ac:dyDescent="0.25">
      <c r="A280" s="17" t="s">
        <v>504</v>
      </c>
      <c r="B280" s="19">
        <v>46060</v>
      </c>
      <c r="C280" s="20">
        <f t="shared" si="8"/>
        <v>46054</v>
      </c>
      <c r="D280" s="17" t="s">
        <v>465</v>
      </c>
      <c r="E280" s="17" t="s">
        <v>23</v>
      </c>
      <c r="F280" s="17" t="s">
        <v>30</v>
      </c>
      <c r="G280" s="21">
        <v>4</v>
      </c>
      <c r="H280" s="12">
        <v>60.57</v>
      </c>
      <c r="I280" s="22">
        <v>0</v>
      </c>
      <c r="J280" s="12">
        <f t="shared" si="9"/>
        <v>242.28</v>
      </c>
      <c r="K280" s="17" t="s">
        <v>43</v>
      </c>
    </row>
    <row r="281" spans="1:11" x14ac:dyDescent="0.25">
      <c r="A281" s="17" t="s">
        <v>505</v>
      </c>
      <c r="B281" s="19">
        <v>46060</v>
      </c>
      <c r="C281" s="20">
        <f t="shared" si="8"/>
        <v>46054</v>
      </c>
      <c r="D281" s="17" t="s">
        <v>506</v>
      </c>
      <c r="E281" s="17" t="s">
        <v>20</v>
      </c>
      <c r="F281" s="17" t="s">
        <v>31</v>
      </c>
      <c r="G281" s="21">
        <v>1</v>
      </c>
      <c r="H281" s="12">
        <v>89.02</v>
      </c>
      <c r="I281" s="22">
        <v>0.05</v>
      </c>
      <c r="J281" s="12">
        <f t="shared" si="9"/>
        <v>84.57</v>
      </c>
      <c r="K281" s="17" t="s">
        <v>48</v>
      </c>
    </row>
    <row r="282" spans="1:11" x14ac:dyDescent="0.25">
      <c r="A282" s="17" t="s">
        <v>507</v>
      </c>
      <c r="B282" s="19">
        <v>46061</v>
      </c>
      <c r="C282" s="20">
        <f t="shared" si="8"/>
        <v>46054</v>
      </c>
      <c r="D282" s="17" t="s">
        <v>508</v>
      </c>
      <c r="E282" s="17" t="s">
        <v>23</v>
      </c>
      <c r="F282" s="17" t="s">
        <v>30</v>
      </c>
      <c r="G282" s="21">
        <v>1</v>
      </c>
      <c r="H282" s="12">
        <v>60.14</v>
      </c>
      <c r="I282" s="22">
        <v>0</v>
      </c>
      <c r="J282" s="12">
        <f t="shared" si="9"/>
        <v>60.14</v>
      </c>
      <c r="K282" s="17" t="s">
        <v>59</v>
      </c>
    </row>
    <row r="283" spans="1:11" x14ac:dyDescent="0.25">
      <c r="A283" s="17" t="s">
        <v>509</v>
      </c>
      <c r="B283" s="19">
        <v>46061</v>
      </c>
      <c r="C283" s="20">
        <f t="shared" si="8"/>
        <v>46054</v>
      </c>
      <c r="D283" s="17" t="s">
        <v>510</v>
      </c>
      <c r="E283" s="17" t="s">
        <v>27</v>
      </c>
      <c r="F283" s="17" t="s">
        <v>30</v>
      </c>
      <c r="G283" s="21">
        <v>5</v>
      </c>
      <c r="H283" s="12">
        <v>13.11</v>
      </c>
      <c r="I283" s="22">
        <v>0</v>
      </c>
      <c r="J283" s="12">
        <f t="shared" si="9"/>
        <v>65.55</v>
      </c>
      <c r="K283" s="17" t="s">
        <v>59</v>
      </c>
    </row>
    <row r="284" spans="1:11" x14ac:dyDescent="0.25">
      <c r="A284" s="17" t="s">
        <v>511</v>
      </c>
      <c r="B284" s="19">
        <v>46061</v>
      </c>
      <c r="C284" s="20">
        <f t="shared" si="8"/>
        <v>46054</v>
      </c>
      <c r="D284" s="17" t="s">
        <v>146</v>
      </c>
      <c r="E284" s="17" t="s">
        <v>21</v>
      </c>
      <c r="F284" s="17" t="s">
        <v>30</v>
      </c>
      <c r="G284" s="21">
        <v>1</v>
      </c>
      <c r="H284" s="12">
        <v>80.540000000000006</v>
      </c>
      <c r="I284" s="22">
        <v>0.15</v>
      </c>
      <c r="J284" s="12">
        <f t="shared" si="9"/>
        <v>68.459999999999994</v>
      </c>
      <c r="K284" s="17" t="s">
        <v>59</v>
      </c>
    </row>
    <row r="285" spans="1:11" x14ac:dyDescent="0.25">
      <c r="A285" s="17" t="s">
        <v>512</v>
      </c>
      <c r="B285" s="19">
        <v>46061</v>
      </c>
      <c r="C285" s="20">
        <f t="shared" si="8"/>
        <v>46054</v>
      </c>
      <c r="D285" s="17" t="s">
        <v>157</v>
      </c>
      <c r="E285" s="17" t="s">
        <v>22</v>
      </c>
      <c r="F285" s="17" t="s">
        <v>30</v>
      </c>
      <c r="G285" s="21">
        <v>1</v>
      </c>
      <c r="H285" s="12">
        <v>96.74</v>
      </c>
      <c r="I285" s="22">
        <v>0.1</v>
      </c>
      <c r="J285" s="12">
        <f t="shared" si="9"/>
        <v>87.07</v>
      </c>
      <c r="K285" s="17" t="s">
        <v>43</v>
      </c>
    </row>
    <row r="286" spans="1:11" x14ac:dyDescent="0.25">
      <c r="A286" s="17" t="s">
        <v>513</v>
      </c>
      <c r="B286" s="19">
        <v>46061</v>
      </c>
      <c r="C286" s="20">
        <f t="shared" si="8"/>
        <v>46054</v>
      </c>
      <c r="D286" s="17" t="s">
        <v>192</v>
      </c>
      <c r="E286" s="17" t="s">
        <v>20</v>
      </c>
      <c r="F286" s="17" t="s">
        <v>30</v>
      </c>
      <c r="G286" s="21">
        <v>3</v>
      </c>
      <c r="H286" s="12">
        <v>89.26</v>
      </c>
      <c r="I286" s="22">
        <v>0</v>
      </c>
      <c r="J286" s="12">
        <f t="shared" si="9"/>
        <v>267.77999999999997</v>
      </c>
      <c r="K286" s="17" t="s">
        <v>43</v>
      </c>
    </row>
    <row r="287" spans="1:11" x14ac:dyDescent="0.25">
      <c r="A287" s="17" t="s">
        <v>514</v>
      </c>
      <c r="B287" s="19">
        <v>46061</v>
      </c>
      <c r="C287" s="20">
        <f t="shared" si="8"/>
        <v>46054</v>
      </c>
      <c r="D287" s="17" t="s">
        <v>177</v>
      </c>
      <c r="E287" s="17" t="s">
        <v>26</v>
      </c>
      <c r="F287" s="17" t="s">
        <v>31</v>
      </c>
      <c r="G287" s="21">
        <v>4</v>
      </c>
      <c r="H287" s="12">
        <v>23.79</v>
      </c>
      <c r="I287" s="22">
        <v>0</v>
      </c>
      <c r="J287" s="12">
        <f t="shared" si="9"/>
        <v>95.16</v>
      </c>
      <c r="K287" s="17" t="s">
        <v>48</v>
      </c>
    </row>
    <row r="288" spans="1:11" x14ac:dyDescent="0.25">
      <c r="A288" s="17" t="s">
        <v>515</v>
      </c>
      <c r="B288" s="19">
        <v>46062</v>
      </c>
      <c r="C288" s="20">
        <f t="shared" si="8"/>
        <v>46054</v>
      </c>
      <c r="D288" s="17" t="s">
        <v>278</v>
      </c>
      <c r="E288" s="17" t="s">
        <v>26</v>
      </c>
      <c r="F288" s="17" t="s">
        <v>30</v>
      </c>
      <c r="G288" s="21">
        <v>2</v>
      </c>
      <c r="H288" s="12">
        <v>25.06</v>
      </c>
      <c r="I288" s="22">
        <v>0.05</v>
      </c>
      <c r="J288" s="12">
        <f t="shared" si="9"/>
        <v>47.61</v>
      </c>
      <c r="K288" s="17" t="s">
        <v>59</v>
      </c>
    </row>
    <row r="289" spans="1:11" x14ac:dyDescent="0.25">
      <c r="A289" s="17" t="s">
        <v>516</v>
      </c>
      <c r="B289" s="19">
        <v>46062</v>
      </c>
      <c r="C289" s="20">
        <f t="shared" si="8"/>
        <v>46054</v>
      </c>
      <c r="D289" s="17" t="s">
        <v>118</v>
      </c>
      <c r="E289" s="17" t="s">
        <v>19</v>
      </c>
      <c r="F289" s="17" t="s">
        <v>30</v>
      </c>
      <c r="G289" s="21">
        <v>1</v>
      </c>
      <c r="H289" s="12">
        <v>128.21</v>
      </c>
      <c r="I289" s="22">
        <v>0</v>
      </c>
      <c r="J289" s="12">
        <f t="shared" si="9"/>
        <v>128.21</v>
      </c>
      <c r="K289" s="17" t="s">
        <v>59</v>
      </c>
    </row>
    <row r="290" spans="1:11" x14ac:dyDescent="0.25">
      <c r="A290" s="17" t="s">
        <v>517</v>
      </c>
      <c r="B290" s="19">
        <v>46062</v>
      </c>
      <c r="C290" s="20">
        <f t="shared" si="8"/>
        <v>46054</v>
      </c>
      <c r="D290" s="17" t="s">
        <v>301</v>
      </c>
      <c r="E290" s="17" t="s">
        <v>19</v>
      </c>
      <c r="F290" s="17" t="s">
        <v>30</v>
      </c>
      <c r="G290" s="21">
        <v>3</v>
      </c>
      <c r="H290" s="12">
        <v>126.44</v>
      </c>
      <c r="I290" s="22">
        <v>0.05</v>
      </c>
      <c r="J290" s="12">
        <f t="shared" si="9"/>
        <v>360.35</v>
      </c>
      <c r="K290" s="17" t="s">
        <v>59</v>
      </c>
    </row>
    <row r="291" spans="1:11" x14ac:dyDescent="0.25">
      <c r="A291" s="17" t="s">
        <v>518</v>
      </c>
      <c r="B291" s="19">
        <v>46062</v>
      </c>
      <c r="C291" s="20">
        <f t="shared" si="8"/>
        <v>46054</v>
      </c>
      <c r="D291" s="17" t="s">
        <v>73</v>
      </c>
      <c r="E291" s="17" t="s">
        <v>20</v>
      </c>
      <c r="F291" s="17" t="s">
        <v>30</v>
      </c>
      <c r="G291" s="21">
        <v>3</v>
      </c>
      <c r="H291" s="12">
        <v>87.19</v>
      </c>
      <c r="I291" s="22">
        <v>0</v>
      </c>
      <c r="J291" s="12">
        <f t="shared" si="9"/>
        <v>261.57</v>
      </c>
      <c r="K291" s="17" t="s">
        <v>59</v>
      </c>
    </row>
    <row r="292" spans="1:11" x14ac:dyDescent="0.25">
      <c r="A292" s="17" t="s">
        <v>519</v>
      </c>
      <c r="B292" s="19">
        <v>46062</v>
      </c>
      <c r="C292" s="20">
        <f t="shared" si="8"/>
        <v>46054</v>
      </c>
      <c r="D292" s="17" t="s">
        <v>520</v>
      </c>
      <c r="E292" s="17" t="s">
        <v>26</v>
      </c>
      <c r="F292" s="17" t="s">
        <v>30</v>
      </c>
      <c r="G292" s="21">
        <v>2</v>
      </c>
      <c r="H292" s="12">
        <v>24.59</v>
      </c>
      <c r="I292" s="22">
        <v>0</v>
      </c>
      <c r="J292" s="12">
        <f t="shared" si="9"/>
        <v>49.18</v>
      </c>
      <c r="K292" s="17" t="s">
        <v>59</v>
      </c>
    </row>
    <row r="293" spans="1:11" x14ac:dyDescent="0.25">
      <c r="A293" s="17" t="s">
        <v>521</v>
      </c>
      <c r="B293" s="19">
        <v>46062</v>
      </c>
      <c r="C293" s="20">
        <f t="shared" si="8"/>
        <v>46054</v>
      </c>
      <c r="D293" s="17" t="s">
        <v>522</v>
      </c>
      <c r="E293" s="17" t="s">
        <v>19</v>
      </c>
      <c r="F293" s="17" t="s">
        <v>30</v>
      </c>
      <c r="G293" s="21">
        <v>3</v>
      </c>
      <c r="H293" s="12">
        <v>131.66999999999999</v>
      </c>
      <c r="I293" s="22">
        <v>0</v>
      </c>
      <c r="J293" s="12">
        <f t="shared" si="9"/>
        <v>395.01</v>
      </c>
      <c r="K293" s="17" t="s">
        <v>43</v>
      </c>
    </row>
    <row r="294" spans="1:11" x14ac:dyDescent="0.25">
      <c r="A294" s="17" t="s">
        <v>523</v>
      </c>
      <c r="B294" s="19">
        <v>46062</v>
      </c>
      <c r="C294" s="20">
        <f t="shared" si="8"/>
        <v>46054</v>
      </c>
      <c r="D294" s="17" t="s">
        <v>524</v>
      </c>
      <c r="E294" s="17" t="s">
        <v>20</v>
      </c>
      <c r="F294" s="17" t="s">
        <v>30</v>
      </c>
      <c r="G294" s="21">
        <v>2</v>
      </c>
      <c r="H294" s="12">
        <v>90.97</v>
      </c>
      <c r="I294" s="22">
        <v>0.05</v>
      </c>
      <c r="J294" s="12">
        <f t="shared" si="9"/>
        <v>172.84</v>
      </c>
      <c r="K294" s="17" t="s">
        <v>43</v>
      </c>
    </row>
    <row r="295" spans="1:11" x14ac:dyDescent="0.25">
      <c r="A295" s="17" t="s">
        <v>525</v>
      </c>
      <c r="B295" s="19">
        <v>46062</v>
      </c>
      <c r="C295" s="20">
        <f t="shared" si="8"/>
        <v>46054</v>
      </c>
      <c r="D295" s="17" t="s">
        <v>406</v>
      </c>
      <c r="E295" s="17" t="s">
        <v>26</v>
      </c>
      <c r="F295" s="17" t="s">
        <v>31</v>
      </c>
      <c r="G295" s="21">
        <v>1</v>
      </c>
      <c r="H295" s="12">
        <v>24.56</v>
      </c>
      <c r="I295" s="22">
        <v>0</v>
      </c>
      <c r="J295" s="12">
        <f t="shared" si="9"/>
        <v>24.56</v>
      </c>
      <c r="K295" s="17" t="s">
        <v>48</v>
      </c>
    </row>
    <row r="296" spans="1:11" x14ac:dyDescent="0.25">
      <c r="A296" s="17" t="s">
        <v>526</v>
      </c>
      <c r="B296" s="19">
        <v>46062</v>
      </c>
      <c r="C296" s="20">
        <f t="shared" si="8"/>
        <v>46054</v>
      </c>
      <c r="D296" s="17" t="s">
        <v>268</v>
      </c>
      <c r="E296" s="17" t="s">
        <v>23</v>
      </c>
      <c r="F296" s="17" t="s">
        <v>31</v>
      </c>
      <c r="G296" s="21">
        <v>3</v>
      </c>
      <c r="H296" s="12">
        <v>58.22</v>
      </c>
      <c r="I296" s="22">
        <v>0.15</v>
      </c>
      <c r="J296" s="12">
        <f t="shared" si="9"/>
        <v>148.46</v>
      </c>
      <c r="K296" s="17" t="s">
        <v>48</v>
      </c>
    </row>
    <row r="297" spans="1:11" x14ac:dyDescent="0.25">
      <c r="A297" s="17" t="s">
        <v>527</v>
      </c>
      <c r="B297" s="19">
        <v>46062</v>
      </c>
      <c r="C297" s="20">
        <f t="shared" si="8"/>
        <v>46054</v>
      </c>
      <c r="D297" s="17" t="s">
        <v>374</v>
      </c>
      <c r="E297" s="17" t="s">
        <v>18</v>
      </c>
      <c r="F297" s="17" t="s">
        <v>31</v>
      </c>
      <c r="G297" s="21">
        <v>4</v>
      </c>
      <c r="H297" s="12">
        <v>151.91999999999999</v>
      </c>
      <c r="I297" s="22">
        <v>0.15</v>
      </c>
      <c r="J297" s="12">
        <f t="shared" si="9"/>
        <v>516.53</v>
      </c>
      <c r="K297" s="17" t="s">
        <v>48</v>
      </c>
    </row>
    <row r="298" spans="1:11" x14ac:dyDescent="0.25">
      <c r="A298" s="17" t="s">
        <v>528</v>
      </c>
      <c r="B298" s="19">
        <v>46062</v>
      </c>
      <c r="C298" s="20">
        <f t="shared" si="8"/>
        <v>46054</v>
      </c>
      <c r="D298" s="17" t="s">
        <v>529</v>
      </c>
      <c r="E298" s="17" t="s">
        <v>25</v>
      </c>
      <c r="F298" s="17" t="s">
        <v>31</v>
      </c>
      <c r="G298" s="21">
        <v>3</v>
      </c>
      <c r="H298" s="12">
        <v>29.41</v>
      </c>
      <c r="I298" s="22">
        <v>0.05</v>
      </c>
      <c r="J298" s="12">
        <f t="shared" si="9"/>
        <v>83.82</v>
      </c>
      <c r="K298" s="17" t="s">
        <v>48</v>
      </c>
    </row>
    <row r="299" spans="1:11" x14ac:dyDescent="0.25">
      <c r="A299" s="17" t="s">
        <v>530</v>
      </c>
      <c r="B299" s="19">
        <v>46062</v>
      </c>
      <c r="C299" s="20">
        <f t="shared" si="8"/>
        <v>46054</v>
      </c>
      <c r="D299" s="17" t="s">
        <v>47</v>
      </c>
      <c r="E299" s="17" t="s">
        <v>17</v>
      </c>
      <c r="F299" s="17" t="s">
        <v>31</v>
      </c>
      <c r="G299" s="21">
        <v>1</v>
      </c>
      <c r="H299" s="12">
        <v>214.48</v>
      </c>
      <c r="I299" s="22">
        <v>0.1</v>
      </c>
      <c r="J299" s="12">
        <f t="shared" si="9"/>
        <v>193.03</v>
      </c>
      <c r="K299" s="17" t="s">
        <v>48</v>
      </c>
    </row>
    <row r="300" spans="1:11" x14ac:dyDescent="0.25">
      <c r="A300" s="17" t="s">
        <v>531</v>
      </c>
      <c r="B300" s="19">
        <v>46062</v>
      </c>
      <c r="C300" s="20">
        <f t="shared" si="8"/>
        <v>46054</v>
      </c>
      <c r="D300" s="17" t="s">
        <v>502</v>
      </c>
      <c r="E300" s="17" t="s">
        <v>20</v>
      </c>
      <c r="F300" s="17" t="s">
        <v>31</v>
      </c>
      <c r="G300" s="21">
        <v>1</v>
      </c>
      <c r="H300" s="12">
        <v>90.45</v>
      </c>
      <c r="I300" s="22">
        <v>0.05</v>
      </c>
      <c r="J300" s="12">
        <f t="shared" si="9"/>
        <v>85.93</v>
      </c>
      <c r="K300" s="17" t="s">
        <v>48</v>
      </c>
    </row>
    <row r="301" spans="1:11" x14ac:dyDescent="0.25">
      <c r="A301" s="17" t="s">
        <v>532</v>
      </c>
      <c r="B301" s="19">
        <v>46063</v>
      </c>
      <c r="C301" s="20">
        <f t="shared" si="8"/>
        <v>46054</v>
      </c>
      <c r="D301" s="17" t="s">
        <v>255</v>
      </c>
      <c r="E301" s="17" t="s">
        <v>21</v>
      </c>
      <c r="F301" s="17" t="s">
        <v>30</v>
      </c>
      <c r="G301" s="21">
        <v>2</v>
      </c>
      <c r="H301" s="12">
        <v>77.52</v>
      </c>
      <c r="I301" s="22">
        <v>0.1</v>
      </c>
      <c r="J301" s="12">
        <f t="shared" si="9"/>
        <v>139.54</v>
      </c>
      <c r="K301" s="17" t="s">
        <v>43</v>
      </c>
    </row>
    <row r="302" spans="1:11" x14ac:dyDescent="0.25">
      <c r="A302" s="17" t="s">
        <v>533</v>
      </c>
      <c r="B302" s="19">
        <v>46063</v>
      </c>
      <c r="C302" s="20">
        <f t="shared" si="8"/>
        <v>46054</v>
      </c>
      <c r="D302" s="17" t="s">
        <v>187</v>
      </c>
      <c r="E302" s="17" t="s">
        <v>24</v>
      </c>
      <c r="F302" s="17" t="s">
        <v>30</v>
      </c>
      <c r="G302" s="21">
        <v>5</v>
      </c>
      <c r="H302" s="12">
        <v>35.01</v>
      </c>
      <c r="I302" s="22">
        <v>0</v>
      </c>
      <c r="J302" s="12">
        <f t="shared" si="9"/>
        <v>175.05</v>
      </c>
      <c r="K302" s="17" t="s">
        <v>43</v>
      </c>
    </row>
    <row r="303" spans="1:11" x14ac:dyDescent="0.25">
      <c r="A303" s="17" t="s">
        <v>534</v>
      </c>
      <c r="B303" s="19">
        <v>46063</v>
      </c>
      <c r="C303" s="20">
        <f t="shared" si="8"/>
        <v>46054</v>
      </c>
      <c r="D303" s="17" t="s">
        <v>185</v>
      </c>
      <c r="E303" s="17" t="s">
        <v>20</v>
      </c>
      <c r="F303" s="17" t="s">
        <v>30</v>
      </c>
      <c r="G303" s="21">
        <v>2</v>
      </c>
      <c r="H303" s="12">
        <v>88.04</v>
      </c>
      <c r="I303" s="22">
        <v>0</v>
      </c>
      <c r="J303" s="12">
        <f t="shared" si="9"/>
        <v>176.08</v>
      </c>
      <c r="K303" s="17" t="s">
        <v>43</v>
      </c>
    </row>
    <row r="304" spans="1:11" x14ac:dyDescent="0.25">
      <c r="A304" s="17" t="s">
        <v>535</v>
      </c>
      <c r="B304" s="19">
        <v>46063</v>
      </c>
      <c r="C304" s="20">
        <f t="shared" si="8"/>
        <v>46054</v>
      </c>
      <c r="D304" s="17" t="s">
        <v>78</v>
      </c>
      <c r="E304" s="17" t="s">
        <v>20</v>
      </c>
      <c r="F304" s="17" t="s">
        <v>31</v>
      </c>
      <c r="G304" s="21">
        <v>1</v>
      </c>
      <c r="H304" s="12">
        <v>89.47</v>
      </c>
      <c r="I304" s="22">
        <v>0</v>
      </c>
      <c r="J304" s="12">
        <f t="shared" si="9"/>
        <v>89.47</v>
      </c>
      <c r="K304" s="17" t="s">
        <v>48</v>
      </c>
    </row>
    <row r="305" spans="1:11" x14ac:dyDescent="0.25">
      <c r="A305" s="17" t="s">
        <v>536</v>
      </c>
      <c r="B305" s="19">
        <v>46063</v>
      </c>
      <c r="C305" s="20">
        <f t="shared" si="8"/>
        <v>46054</v>
      </c>
      <c r="D305" s="17" t="s">
        <v>71</v>
      </c>
      <c r="E305" s="17" t="s">
        <v>25</v>
      </c>
      <c r="F305" s="17" t="s">
        <v>31</v>
      </c>
      <c r="G305" s="21">
        <v>1</v>
      </c>
      <c r="H305" s="12">
        <v>29.69</v>
      </c>
      <c r="I305" s="22">
        <v>0</v>
      </c>
      <c r="J305" s="12">
        <f t="shared" si="9"/>
        <v>29.69</v>
      </c>
      <c r="K305" s="17" t="s">
        <v>48</v>
      </c>
    </row>
    <row r="306" spans="1:11" x14ac:dyDescent="0.25">
      <c r="A306" s="17" t="s">
        <v>537</v>
      </c>
      <c r="B306" s="19">
        <v>46064</v>
      </c>
      <c r="C306" s="20">
        <f t="shared" si="8"/>
        <v>46054</v>
      </c>
      <c r="D306" s="17" t="s">
        <v>364</v>
      </c>
      <c r="E306" s="17" t="s">
        <v>27</v>
      </c>
      <c r="F306" s="17" t="s">
        <v>30</v>
      </c>
      <c r="G306" s="21">
        <v>5</v>
      </c>
      <c r="H306" s="12">
        <v>13.12</v>
      </c>
      <c r="I306" s="22">
        <v>0.05</v>
      </c>
      <c r="J306" s="12">
        <f t="shared" si="9"/>
        <v>62.32</v>
      </c>
      <c r="K306" s="17" t="s">
        <v>59</v>
      </c>
    </row>
    <row r="307" spans="1:11" x14ac:dyDescent="0.25">
      <c r="A307" s="17" t="s">
        <v>538</v>
      </c>
      <c r="B307" s="19">
        <v>46064</v>
      </c>
      <c r="C307" s="20">
        <f t="shared" si="8"/>
        <v>46054</v>
      </c>
      <c r="D307" s="17" t="s">
        <v>539</v>
      </c>
      <c r="E307" s="17" t="s">
        <v>17</v>
      </c>
      <c r="F307" s="17" t="s">
        <v>31</v>
      </c>
      <c r="G307" s="21">
        <v>5</v>
      </c>
      <c r="H307" s="12">
        <v>217.21</v>
      </c>
      <c r="I307" s="22">
        <v>0.05</v>
      </c>
      <c r="J307" s="12">
        <f t="shared" si="9"/>
        <v>1031.75</v>
      </c>
      <c r="K307" s="17" t="s">
        <v>48</v>
      </c>
    </row>
    <row r="308" spans="1:11" x14ac:dyDescent="0.25">
      <c r="A308" s="17" t="s">
        <v>540</v>
      </c>
      <c r="B308" s="19">
        <v>46065</v>
      </c>
      <c r="C308" s="20">
        <f t="shared" si="8"/>
        <v>46054</v>
      </c>
      <c r="D308" s="17" t="s">
        <v>97</v>
      </c>
      <c r="E308" s="17" t="s">
        <v>23</v>
      </c>
      <c r="F308" s="17" t="s">
        <v>30</v>
      </c>
      <c r="G308" s="21">
        <v>1</v>
      </c>
      <c r="H308" s="12">
        <v>58.36</v>
      </c>
      <c r="I308" s="22">
        <v>0.05</v>
      </c>
      <c r="J308" s="12">
        <f t="shared" si="9"/>
        <v>55.44</v>
      </c>
      <c r="K308" s="17" t="s">
        <v>59</v>
      </c>
    </row>
    <row r="309" spans="1:11" x14ac:dyDescent="0.25">
      <c r="A309" s="17" t="s">
        <v>541</v>
      </c>
      <c r="B309" s="19">
        <v>46065</v>
      </c>
      <c r="C309" s="20">
        <f t="shared" si="8"/>
        <v>46054</v>
      </c>
      <c r="D309" s="17" t="s">
        <v>417</v>
      </c>
      <c r="E309" s="17" t="s">
        <v>26</v>
      </c>
      <c r="F309" s="17" t="s">
        <v>30</v>
      </c>
      <c r="G309" s="21">
        <v>2</v>
      </c>
      <c r="H309" s="12">
        <v>25.01</v>
      </c>
      <c r="I309" s="22">
        <v>0</v>
      </c>
      <c r="J309" s="12">
        <f t="shared" si="9"/>
        <v>50.02</v>
      </c>
      <c r="K309" s="17" t="s">
        <v>43</v>
      </c>
    </row>
    <row r="310" spans="1:11" x14ac:dyDescent="0.25">
      <c r="A310" s="17" t="s">
        <v>542</v>
      </c>
      <c r="B310" s="19">
        <v>46065</v>
      </c>
      <c r="C310" s="20">
        <f t="shared" si="8"/>
        <v>46054</v>
      </c>
      <c r="D310" s="17" t="s">
        <v>543</v>
      </c>
      <c r="E310" s="17" t="s">
        <v>25</v>
      </c>
      <c r="F310" s="17" t="s">
        <v>30</v>
      </c>
      <c r="G310" s="21">
        <v>3</v>
      </c>
      <c r="H310" s="12">
        <v>30.03</v>
      </c>
      <c r="I310" s="22">
        <v>0.05</v>
      </c>
      <c r="J310" s="12">
        <f t="shared" si="9"/>
        <v>85.59</v>
      </c>
      <c r="K310" s="17" t="s">
        <v>43</v>
      </c>
    </row>
    <row r="311" spans="1:11" x14ac:dyDescent="0.25">
      <c r="A311" s="17" t="s">
        <v>544</v>
      </c>
      <c r="B311" s="19">
        <v>46066</v>
      </c>
      <c r="C311" s="20">
        <f t="shared" si="8"/>
        <v>46054</v>
      </c>
      <c r="D311" s="17" t="s">
        <v>362</v>
      </c>
      <c r="E311" s="17" t="s">
        <v>20</v>
      </c>
      <c r="F311" s="17" t="s">
        <v>30</v>
      </c>
      <c r="G311" s="21">
        <v>3</v>
      </c>
      <c r="H311" s="12">
        <v>87.83</v>
      </c>
      <c r="I311" s="22">
        <v>0</v>
      </c>
      <c r="J311" s="12">
        <f t="shared" si="9"/>
        <v>263.49</v>
      </c>
      <c r="K311" s="17" t="s">
        <v>59</v>
      </c>
    </row>
    <row r="312" spans="1:11" x14ac:dyDescent="0.25">
      <c r="A312" s="17" t="s">
        <v>545</v>
      </c>
      <c r="B312" s="19">
        <v>46066</v>
      </c>
      <c r="C312" s="20">
        <f t="shared" si="8"/>
        <v>46054</v>
      </c>
      <c r="D312" s="17" t="s">
        <v>546</v>
      </c>
      <c r="E312" s="17" t="s">
        <v>21</v>
      </c>
      <c r="F312" s="17" t="s">
        <v>30</v>
      </c>
      <c r="G312" s="21">
        <v>1</v>
      </c>
      <c r="H312" s="12">
        <v>77.959999999999994</v>
      </c>
      <c r="I312" s="22">
        <v>0</v>
      </c>
      <c r="J312" s="12">
        <f t="shared" si="9"/>
        <v>77.959999999999994</v>
      </c>
      <c r="K312" s="17" t="s">
        <v>59</v>
      </c>
    </row>
    <row r="313" spans="1:11" x14ac:dyDescent="0.25">
      <c r="A313" s="17" t="s">
        <v>547</v>
      </c>
      <c r="B313" s="19">
        <v>46066</v>
      </c>
      <c r="C313" s="20">
        <f t="shared" si="8"/>
        <v>46054</v>
      </c>
      <c r="D313" s="17" t="s">
        <v>308</v>
      </c>
      <c r="E313" s="17" t="s">
        <v>25</v>
      </c>
      <c r="F313" s="17" t="s">
        <v>30</v>
      </c>
      <c r="G313" s="21">
        <v>1</v>
      </c>
      <c r="H313" s="12">
        <v>29.44</v>
      </c>
      <c r="I313" s="22">
        <v>0</v>
      </c>
      <c r="J313" s="12">
        <f t="shared" si="9"/>
        <v>29.44</v>
      </c>
      <c r="K313" s="17" t="s">
        <v>43</v>
      </c>
    </row>
    <row r="314" spans="1:11" x14ac:dyDescent="0.25">
      <c r="A314" s="17" t="s">
        <v>548</v>
      </c>
      <c r="B314" s="19">
        <v>46066</v>
      </c>
      <c r="C314" s="20">
        <f t="shared" si="8"/>
        <v>46054</v>
      </c>
      <c r="D314" s="17" t="s">
        <v>216</v>
      </c>
      <c r="E314" s="17" t="s">
        <v>16</v>
      </c>
      <c r="F314" s="17" t="s">
        <v>30</v>
      </c>
      <c r="G314" s="21">
        <v>4</v>
      </c>
      <c r="H314" s="12">
        <v>246.13</v>
      </c>
      <c r="I314" s="22">
        <v>0</v>
      </c>
      <c r="J314" s="12">
        <f t="shared" si="9"/>
        <v>984.52</v>
      </c>
      <c r="K314" s="17" t="s">
        <v>43</v>
      </c>
    </row>
    <row r="315" spans="1:11" x14ac:dyDescent="0.25">
      <c r="A315" s="17" t="s">
        <v>549</v>
      </c>
      <c r="B315" s="19">
        <v>46067</v>
      </c>
      <c r="C315" s="20">
        <f t="shared" si="8"/>
        <v>46054</v>
      </c>
      <c r="D315" s="17" t="s">
        <v>110</v>
      </c>
      <c r="E315" s="17" t="s">
        <v>22</v>
      </c>
      <c r="F315" s="17" t="s">
        <v>30</v>
      </c>
      <c r="G315" s="21">
        <v>2</v>
      </c>
      <c r="H315" s="12">
        <v>97.18</v>
      </c>
      <c r="I315" s="22">
        <v>0.1</v>
      </c>
      <c r="J315" s="12">
        <f t="shared" si="9"/>
        <v>174.92</v>
      </c>
      <c r="K315" s="17" t="s">
        <v>43</v>
      </c>
    </row>
    <row r="316" spans="1:11" x14ac:dyDescent="0.25">
      <c r="A316" s="17" t="s">
        <v>550</v>
      </c>
      <c r="B316" s="19">
        <v>46067</v>
      </c>
      <c r="C316" s="20">
        <f t="shared" si="8"/>
        <v>46054</v>
      </c>
      <c r="D316" s="17" t="s">
        <v>253</v>
      </c>
      <c r="E316" s="17" t="s">
        <v>20</v>
      </c>
      <c r="F316" s="17" t="s">
        <v>30</v>
      </c>
      <c r="G316" s="21">
        <v>2</v>
      </c>
      <c r="H316" s="12">
        <v>86.9</v>
      </c>
      <c r="I316" s="22">
        <v>0</v>
      </c>
      <c r="J316" s="12">
        <f t="shared" si="9"/>
        <v>173.8</v>
      </c>
      <c r="K316" s="17" t="s">
        <v>43</v>
      </c>
    </row>
    <row r="317" spans="1:11" x14ac:dyDescent="0.25">
      <c r="A317" s="17" t="s">
        <v>551</v>
      </c>
      <c r="B317" s="19">
        <v>46067</v>
      </c>
      <c r="C317" s="20">
        <f t="shared" si="8"/>
        <v>46054</v>
      </c>
      <c r="D317" s="17" t="s">
        <v>157</v>
      </c>
      <c r="E317" s="17" t="s">
        <v>16</v>
      </c>
      <c r="F317" s="17" t="s">
        <v>30</v>
      </c>
      <c r="G317" s="21">
        <v>1</v>
      </c>
      <c r="H317" s="12">
        <v>250.93</v>
      </c>
      <c r="I317" s="22">
        <v>0.15</v>
      </c>
      <c r="J317" s="12">
        <f t="shared" si="9"/>
        <v>213.29</v>
      </c>
      <c r="K317" s="17" t="s">
        <v>43</v>
      </c>
    </row>
    <row r="318" spans="1:11" x14ac:dyDescent="0.25">
      <c r="A318" s="17" t="s">
        <v>552</v>
      </c>
      <c r="B318" s="19">
        <v>46067</v>
      </c>
      <c r="C318" s="20">
        <f t="shared" si="8"/>
        <v>46054</v>
      </c>
      <c r="D318" s="17" t="s">
        <v>499</v>
      </c>
      <c r="E318" s="17" t="s">
        <v>22</v>
      </c>
      <c r="F318" s="17" t="s">
        <v>31</v>
      </c>
      <c r="G318" s="21">
        <v>4</v>
      </c>
      <c r="H318" s="12">
        <v>96.98</v>
      </c>
      <c r="I318" s="22">
        <v>0</v>
      </c>
      <c r="J318" s="12">
        <f t="shared" si="9"/>
        <v>387.92</v>
      </c>
      <c r="K318" s="17" t="s">
        <v>48</v>
      </c>
    </row>
    <row r="319" spans="1:11" x14ac:dyDescent="0.25">
      <c r="A319" s="17" t="s">
        <v>553</v>
      </c>
      <c r="B319" s="19">
        <v>46067</v>
      </c>
      <c r="C319" s="20">
        <f t="shared" si="8"/>
        <v>46054</v>
      </c>
      <c r="D319" s="17" t="s">
        <v>306</v>
      </c>
      <c r="E319" s="17" t="s">
        <v>25</v>
      </c>
      <c r="F319" s="17" t="s">
        <v>31</v>
      </c>
      <c r="G319" s="21">
        <v>3</v>
      </c>
      <c r="H319" s="12">
        <v>29.67</v>
      </c>
      <c r="I319" s="22">
        <v>0</v>
      </c>
      <c r="J319" s="12">
        <f t="shared" si="9"/>
        <v>89.01</v>
      </c>
      <c r="K319" s="17" t="s">
        <v>48</v>
      </c>
    </row>
    <row r="320" spans="1:11" x14ac:dyDescent="0.25">
      <c r="A320" s="17" t="s">
        <v>554</v>
      </c>
      <c r="B320" s="19">
        <v>46068</v>
      </c>
      <c r="C320" s="20">
        <f t="shared" si="8"/>
        <v>46054</v>
      </c>
      <c r="D320" s="17" t="s">
        <v>555</v>
      </c>
      <c r="E320" s="17" t="s">
        <v>21</v>
      </c>
      <c r="F320" s="17" t="s">
        <v>30</v>
      </c>
      <c r="G320" s="21">
        <v>1</v>
      </c>
      <c r="H320" s="12">
        <v>80.430000000000007</v>
      </c>
      <c r="I320" s="22">
        <v>0.15</v>
      </c>
      <c r="J320" s="12">
        <f t="shared" si="9"/>
        <v>68.37</v>
      </c>
      <c r="K320" s="17" t="s">
        <v>59</v>
      </c>
    </row>
    <row r="321" spans="1:11" x14ac:dyDescent="0.25">
      <c r="A321" s="17" t="s">
        <v>556</v>
      </c>
      <c r="B321" s="19">
        <v>46068</v>
      </c>
      <c r="C321" s="20">
        <f t="shared" si="8"/>
        <v>46054</v>
      </c>
      <c r="D321" s="17" t="s">
        <v>557</v>
      </c>
      <c r="E321" s="17" t="s">
        <v>25</v>
      </c>
      <c r="F321" s="17" t="s">
        <v>30</v>
      </c>
      <c r="G321" s="21">
        <v>1</v>
      </c>
      <c r="H321" s="12">
        <v>30.88</v>
      </c>
      <c r="I321" s="22">
        <v>0</v>
      </c>
      <c r="J321" s="12">
        <f t="shared" si="9"/>
        <v>30.88</v>
      </c>
      <c r="K321" s="17" t="s">
        <v>59</v>
      </c>
    </row>
    <row r="322" spans="1:11" x14ac:dyDescent="0.25">
      <c r="A322" s="17" t="s">
        <v>558</v>
      </c>
      <c r="B322" s="19">
        <v>46068</v>
      </c>
      <c r="C322" s="20">
        <f t="shared" ref="C322:C385" si="10">DATE(YEAR(B322),MONTH(B322),1)</f>
        <v>46054</v>
      </c>
      <c r="D322" s="17" t="s">
        <v>73</v>
      </c>
      <c r="E322" s="17" t="s">
        <v>16</v>
      </c>
      <c r="F322" s="17" t="s">
        <v>30</v>
      </c>
      <c r="G322" s="21">
        <v>2</v>
      </c>
      <c r="H322" s="12">
        <v>251.43</v>
      </c>
      <c r="I322" s="22">
        <v>0</v>
      </c>
      <c r="J322" s="12">
        <f t="shared" ref="J322:J385" si="11">ROUND(G322*H322*(1-I322),2)</f>
        <v>502.86</v>
      </c>
      <c r="K322" s="17" t="s">
        <v>59</v>
      </c>
    </row>
    <row r="323" spans="1:11" x14ac:dyDescent="0.25">
      <c r="A323" s="17" t="s">
        <v>559</v>
      </c>
      <c r="B323" s="19">
        <v>46068</v>
      </c>
      <c r="C323" s="20">
        <f t="shared" si="10"/>
        <v>46054</v>
      </c>
      <c r="D323" s="17" t="s">
        <v>297</v>
      </c>
      <c r="E323" s="17" t="s">
        <v>17</v>
      </c>
      <c r="F323" s="17" t="s">
        <v>30</v>
      </c>
      <c r="G323" s="21">
        <v>1</v>
      </c>
      <c r="H323" s="12">
        <v>213.98</v>
      </c>
      <c r="I323" s="22">
        <v>0</v>
      </c>
      <c r="J323" s="12">
        <f t="shared" si="11"/>
        <v>213.98</v>
      </c>
      <c r="K323" s="17" t="s">
        <v>43</v>
      </c>
    </row>
    <row r="324" spans="1:11" x14ac:dyDescent="0.25">
      <c r="A324" s="17" t="s">
        <v>560</v>
      </c>
      <c r="B324" s="19">
        <v>46068</v>
      </c>
      <c r="C324" s="20">
        <f t="shared" si="10"/>
        <v>46054</v>
      </c>
      <c r="D324" s="17" t="s">
        <v>265</v>
      </c>
      <c r="E324" s="17" t="s">
        <v>23</v>
      </c>
      <c r="F324" s="17" t="s">
        <v>30</v>
      </c>
      <c r="G324" s="21">
        <v>3</v>
      </c>
      <c r="H324" s="12">
        <v>57.69</v>
      </c>
      <c r="I324" s="22">
        <v>0</v>
      </c>
      <c r="J324" s="12">
        <f t="shared" si="11"/>
        <v>173.07</v>
      </c>
      <c r="K324" s="17" t="s">
        <v>43</v>
      </c>
    </row>
    <row r="325" spans="1:11" x14ac:dyDescent="0.25">
      <c r="A325" s="17" t="s">
        <v>561</v>
      </c>
      <c r="B325" s="19">
        <v>46068</v>
      </c>
      <c r="C325" s="20">
        <f t="shared" si="10"/>
        <v>46054</v>
      </c>
      <c r="D325" s="17" t="s">
        <v>562</v>
      </c>
      <c r="E325" s="17" t="s">
        <v>17</v>
      </c>
      <c r="F325" s="17" t="s">
        <v>30</v>
      </c>
      <c r="G325" s="21">
        <v>2</v>
      </c>
      <c r="H325" s="12">
        <v>223.08</v>
      </c>
      <c r="I325" s="22">
        <v>0</v>
      </c>
      <c r="J325" s="12">
        <f t="shared" si="11"/>
        <v>446.16</v>
      </c>
      <c r="K325" s="17" t="s">
        <v>43</v>
      </c>
    </row>
    <row r="326" spans="1:11" x14ac:dyDescent="0.25">
      <c r="A326" s="17" t="s">
        <v>563</v>
      </c>
      <c r="B326" s="19">
        <v>46068</v>
      </c>
      <c r="C326" s="20">
        <f t="shared" si="10"/>
        <v>46054</v>
      </c>
      <c r="D326" s="17" t="s">
        <v>346</v>
      </c>
      <c r="E326" s="17" t="s">
        <v>23</v>
      </c>
      <c r="F326" s="17" t="s">
        <v>31</v>
      </c>
      <c r="G326" s="21">
        <v>4</v>
      </c>
      <c r="H326" s="12">
        <v>60.4</v>
      </c>
      <c r="I326" s="22">
        <v>0</v>
      </c>
      <c r="J326" s="12">
        <f t="shared" si="11"/>
        <v>241.6</v>
      </c>
      <c r="K326" s="17" t="s">
        <v>48</v>
      </c>
    </row>
    <row r="327" spans="1:11" x14ac:dyDescent="0.25">
      <c r="A327" s="17" t="s">
        <v>564</v>
      </c>
      <c r="B327" s="19">
        <v>46068</v>
      </c>
      <c r="C327" s="20">
        <f t="shared" si="10"/>
        <v>46054</v>
      </c>
      <c r="D327" s="17" t="s">
        <v>494</v>
      </c>
      <c r="E327" s="17" t="s">
        <v>24</v>
      </c>
      <c r="F327" s="17" t="s">
        <v>31</v>
      </c>
      <c r="G327" s="21">
        <v>2</v>
      </c>
      <c r="H327" s="12">
        <v>34.74</v>
      </c>
      <c r="I327" s="22">
        <v>0</v>
      </c>
      <c r="J327" s="12">
        <f t="shared" si="11"/>
        <v>69.48</v>
      </c>
      <c r="K327" s="17" t="s">
        <v>48</v>
      </c>
    </row>
    <row r="328" spans="1:11" x14ac:dyDescent="0.25">
      <c r="A328" s="17" t="s">
        <v>565</v>
      </c>
      <c r="B328" s="19">
        <v>46069</v>
      </c>
      <c r="C328" s="20">
        <f t="shared" si="10"/>
        <v>46054</v>
      </c>
      <c r="D328" s="17" t="s">
        <v>566</v>
      </c>
      <c r="E328" s="17" t="s">
        <v>21</v>
      </c>
      <c r="F328" s="17" t="s">
        <v>30</v>
      </c>
      <c r="G328" s="21">
        <v>4</v>
      </c>
      <c r="H328" s="12">
        <v>81.08</v>
      </c>
      <c r="I328" s="22">
        <v>0</v>
      </c>
      <c r="J328" s="12">
        <f t="shared" si="11"/>
        <v>324.32</v>
      </c>
      <c r="K328" s="17" t="s">
        <v>59</v>
      </c>
    </row>
    <row r="329" spans="1:11" x14ac:dyDescent="0.25">
      <c r="A329" s="17" t="s">
        <v>567</v>
      </c>
      <c r="B329" s="19">
        <v>46069</v>
      </c>
      <c r="C329" s="20">
        <f t="shared" si="10"/>
        <v>46054</v>
      </c>
      <c r="D329" s="17" t="s">
        <v>568</v>
      </c>
      <c r="E329" s="17" t="s">
        <v>17</v>
      </c>
      <c r="F329" s="17" t="s">
        <v>30</v>
      </c>
      <c r="G329" s="21">
        <v>2</v>
      </c>
      <c r="H329" s="12">
        <v>221.36</v>
      </c>
      <c r="I329" s="22">
        <v>0.05</v>
      </c>
      <c r="J329" s="12">
        <f t="shared" si="11"/>
        <v>420.58</v>
      </c>
      <c r="K329" s="17" t="s">
        <v>59</v>
      </c>
    </row>
    <row r="330" spans="1:11" x14ac:dyDescent="0.25">
      <c r="A330" s="17" t="s">
        <v>569</v>
      </c>
      <c r="B330" s="19">
        <v>46069</v>
      </c>
      <c r="C330" s="20">
        <f t="shared" si="10"/>
        <v>46054</v>
      </c>
      <c r="D330" s="17" t="s">
        <v>570</v>
      </c>
      <c r="E330" s="17" t="s">
        <v>19</v>
      </c>
      <c r="F330" s="17" t="s">
        <v>31</v>
      </c>
      <c r="G330" s="21">
        <v>3</v>
      </c>
      <c r="H330" s="12">
        <v>132.19</v>
      </c>
      <c r="I330" s="22">
        <v>0</v>
      </c>
      <c r="J330" s="12">
        <f t="shared" si="11"/>
        <v>396.57</v>
      </c>
      <c r="K330" s="17" t="s">
        <v>48</v>
      </c>
    </row>
    <row r="331" spans="1:11" x14ac:dyDescent="0.25">
      <c r="A331" s="17" t="s">
        <v>571</v>
      </c>
      <c r="B331" s="19">
        <v>46069</v>
      </c>
      <c r="C331" s="20">
        <f t="shared" si="10"/>
        <v>46054</v>
      </c>
      <c r="D331" s="17" t="s">
        <v>450</v>
      </c>
      <c r="E331" s="17" t="s">
        <v>26</v>
      </c>
      <c r="F331" s="17" t="s">
        <v>31</v>
      </c>
      <c r="G331" s="21">
        <v>3</v>
      </c>
      <c r="H331" s="12">
        <v>23.85</v>
      </c>
      <c r="I331" s="22">
        <v>0.15</v>
      </c>
      <c r="J331" s="12">
        <f t="shared" si="11"/>
        <v>60.82</v>
      </c>
      <c r="K331" s="17" t="s">
        <v>48</v>
      </c>
    </row>
    <row r="332" spans="1:11" x14ac:dyDescent="0.25">
      <c r="A332" s="17" t="s">
        <v>572</v>
      </c>
      <c r="B332" s="19">
        <v>46070</v>
      </c>
      <c r="C332" s="20">
        <f t="shared" si="10"/>
        <v>46054</v>
      </c>
      <c r="D332" s="17" t="s">
        <v>359</v>
      </c>
      <c r="E332" s="17" t="s">
        <v>18</v>
      </c>
      <c r="F332" s="17" t="s">
        <v>30</v>
      </c>
      <c r="G332" s="21">
        <v>4</v>
      </c>
      <c r="H332" s="12">
        <v>149.55000000000001</v>
      </c>
      <c r="I332" s="22">
        <v>0</v>
      </c>
      <c r="J332" s="12">
        <f t="shared" si="11"/>
        <v>598.20000000000005</v>
      </c>
      <c r="K332" s="17" t="s">
        <v>59</v>
      </c>
    </row>
    <row r="333" spans="1:11" x14ac:dyDescent="0.25">
      <c r="A333" s="17" t="s">
        <v>573</v>
      </c>
      <c r="B333" s="19">
        <v>46070</v>
      </c>
      <c r="C333" s="20">
        <f t="shared" si="10"/>
        <v>46054</v>
      </c>
      <c r="D333" s="17" t="s">
        <v>483</v>
      </c>
      <c r="E333" s="17" t="s">
        <v>26</v>
      </c>
      <c r="F333" s="17" t="s">
        <v>31</v>
      </c>
      <c r="G333" s="21">
        <v>3</v>
      </c>
      <c r="H333" s="12">
        <v>24.05</v>
      </c>
      <c r="I333" s="22">
        <v>0.05</v>
      </c>
      <c r="J333" s="12">
        <f t="shared" si="11"/>
        <v>68.540000000000006</v>
      </c>
      <c r="K333" s="17" t="s">
        <v>48</v>
      </c>
    </row>
    <row r="334" spans="1:11" x14ac:dyDescent="0.25">
      <c r="A334" s="17" t="s">
        <v>574</v>
      </c>
      <c r="B334" s="19">
        <v>46070</v>
      </c>
      <c r="C334" s="20">
        <f t="shared" si="10"/>
        <v>46054</v>
      </c>
      <c r="D334" s="17" t="s">
        <v>327</v>
      </c>
      <c r="E334" s="17" t="s">
        <v>22</v>
      </c>
      <c r="F334" s="17" t="s">
        <v>31</v>
      </c>
      <c r="G334" s="21">
        <v>4</v>
      </c>
      <c r="H334" s="12">
        <v>98.07</v>
      </c>
      <c r="I334" s="22">
        <v>0</v>
      </c>
      <c r="J334" s="12">
        <f t="shared" si="11"/>
        <v>392.28</v>
      </c>
      <c r="K334" s="17" t="s">
        <v>48</v>
      </c>
    </row>
    <row r="335" spans="1:11" x14ac:dyDescent="0.25">
      <c r="A335" s="17" t="s">
        <v>575</v>
      </c>
      <c r="B335" s="19">
        <v>46070</v>
      </c>
      <c r="C335" s="20">
        <f t="shared" si="10"/>
        <v>46054</v>
      </c>
      <c r="D335" s="17" t="s">
        <v>576</v>
      </c>
      <c r="E335" s="17" t="s">
        <v>18</v>
      </c>
      <c r="F335" s="17" t="s">
        <v>31</v>
      </c>
      <c r="G335" s="21">
        <v>1</v>
      </c>
      <c r="H335" s="12">
        <v>146.41999999999999</v>
      </c>
      <c r="I335" s="22">
        <v>0</v>
      </c>
      <c r="J335" s="12">
        <f t="shared" si="11"/>
        <v>146.41999999999999</v>
      </c>
      <c r="K335" s="17" t="s">
        <v>48</v>
      </c>
    </row>
    <row r="336" spans="1:11" x14ac:dyDescent="0.25">
      <c r="A336" s="17" t="s">
        <v>577</v>
      </c>
      <c r="B336" s="19">
        <v>46070</v>
      </c>
      <c r="C336" s="20">
        <f t="shared" si="10"/>
        <v>46054</v>
      </c>
      <c r="D336" s="17" t="s">
        <v>50</v>
      </c>
      <c r="E336" s="17" t="s">
        <v>23</v>
      </c>
      <c r="F336" s="17" t="s">
        <v>31</v>
      </c>
      <c r="G336" s="21">
        <v>2</v>
      </c>
      <c r="H336" s="12">
        <v>58.75</v>
      </c>
      <c r="I336" s="22">
        <v>0</v>
      </c>
      <c r="J336" s="12">
        <f t="shared" si="11"/>
        <v>117.5</v>
      </c>
      <c r="K336" s="17" t="s">
        <v>48</v>
      </c>
    </row>
    <row r="337" spans="1:11" x14ac:dyDescent="0.25">
      <c r="A337" s="17" t="s">
        <v>578</v>
      </c>
      <c r="B337" s="19">
        <v>46071</v>
      </c>
      <c r="C337" s="20">
        <f t="shared" si="10"/>
        <v>46054</v>
      </c>
      <c r="D337" s="17" t="s">
        <v>579</v>
      </c>
      <c r="E337" s="17" t="s">
        <v>17</v>
      </c>
      <c r="F337" s="17" t="s">
        <v>30</v>
      </c>
      <c r="G337" s="21">
        <v>1</v>
      </c>
      <c r="H337" s="12">
        <v>214.8</v>
      </c>
      <c r="I337" s="22">
        <v>0.15</v>
      </c>
      <c r="J337" s="12">
        <f t="shared" si="11"/>
        <v>182.58</v>
      </c>
      <c r="K337" s="17" t="s">
        <v>59</v>
      </c>
    </row>
    <row r="338" spans="1:11" x14ac:dyDescent="0.25">
      <c r="A338" s="17" t="s">
        <v>580</v>
      </c>
      <c r="B338" s="19">
        <v>46071</v>
      </c>
      <c r="C338" s="20">
        <f t="shared" si="10"/>
        <v>46054</v>
      </c>
      <c r="D338" s="17" t="s">
        <v>496</v>
      </c>
      <c r="E338" s="17" t="s">
        <v>27</v>
      </c>
      <c r="F338" s="17" t="s">
        <v>30</v>
      </c>
      <c r="G338" s="21">
        <v>1</v>
      </c>
      <c r="H338" s="12">
        <v>13.08</v>
      </c>
      <c r="I338" s="22">
        <v>0.1</v>
      </c>
      <c r="J338" s="12">
        <f t="shared" si="11"/>
        <v>11.77</v>
      </c>
      <c r="K338" s="17" t="s">
        <v>43</v>
      </c>
    </row>
    <row r="339" spans="1:11" x14ac:dyDescent="0.25">
      <c r="A339" s="17" t="s">
        <v>581</v>
      </c>
      <c r="B339" s="19">
        <v>46071</v>
      </c>
      <c r="C339" s="20">
        <f t="shared" si="10"/>
        <v>46054</v>
      </c>
      <c r="D339" s="17" t="s">
        <v>582</v>
      </c>
      <c r="E339" s="17" t="s">
        <v>27</v>
      </c>
      <c r="F339" s="17" t="s">
        <v>30</v>
      </c>
      <c r="G339" s="21">
        <v>3</v>
      </c>
      <c r="H339" s="12">
        <v>12.6</v>
      </c>
      <c r="I339" s="22">
        <v>0</v>
      </c>
      <c r="J339" s="12">
        <f t="shared" si="11"/>
        <v>37.799999999999997</v>
      </c>
      <c r="K339" s="17" t="s">
        <v>43</v>
      </c>
    </row>
    <row r="340" spans="1:11" x14ac:dyDescent="0.25">
      <c r="A340" s="17" t="s">
        <v>583</v>
      </c>
      <c r="B340" s="19">
        <v>46071</v>
      </c>
      <c r="C340" s="20">
        <f t="shared" si="10"/>
        <v>46054</v>
      </c>
      <c r="D340" s="17" t="s">
        <v>506</v>
      </c>
      <c r="E340" s="17" t="s">
        <v>19</v>
      </c>
      <c r="F340" s="17" t="s">
        <v>31</v>
      </c>
      <c r="G340" s="21">
        <v>1</v>
      </c>
      <c r="H340" s="12">
        <v>126.9</v>
      </c>
      <c r="I340" s="22">
        <v>0</v>
      </c>
      <c r="J340" s="12">
        <f t="shared" si="11"/>
        <v>126.9</v>
      </c>
      <c r="K340" s="17" t="s">
        <v>48</v>
      </c>
    </row>
    <row r="341" spans="1:11" x14ac:dyDescent="0.25">
      <c r="A341" s="17" t="s">
        <v>584</v>
      </c>
      <c r="B341" s="19">
        <v>46071</v>
      </c>
      <c r="C341" s="20">
        <f t="shared" si="10"/>
        <v>46054</v>
      </c>
      <c r="D341" s="17" t="s">
        <v>344</v>
      </c>
      <c r="E341" s="17" t="s">
        <v>22</v>
      </c>
      <c r="F341" s="17" t="s">
        <v>31</v>
      </c>
      <c r="G341" s="21">
        <v>2</v>
      </c>
      <c r="H341" s="12">
        <v>97.78</v>
      </c>
      <c r="I341" s="22">
        <v>0</v>
      </c>
      <c r="J341" s="12">
        <f t="shared" si="11"/>
        <v>195.56</v>
      </c>
      <c r="K341" s="17" t="s">
        <v>48</v>
      </c>
    </row>
    <row r="342" spans="1:11" x14ac:dyDescent="0.25">
      <c r="A342" s="17" t="s">
        <v>585</v>
      </c>
      <c r="B342" s="19">
        <v>46071</v>
      </c>
      <c r="C342" s="20">
        <f t="shared" si="10"/>
        <v>46054</v>
      </c>
      <c r="D342" s="17" t="s">
        <v>364</v>
      </c>
      <c r="E342" s="17" t="s">
        <v>23</v>
      </c>
      <c r="F342" s="17" t="s">
        <v>31</v>
      </c>
      <c r="G342" s="21">
        <v>5</v>
      </c>
      <c r="H342" s="12">
        <v>60.04</v>
      </c>
      <c r="I342" s="22">
        <v>0.15</v>
      </c>
      <c r="J342" s="12">
        <f t="shared" si="11"/>
        <v>255.17</v>
      </c>
      <c r="K342" s="17" t="s">
        <v>48</v>
      </c>
    </row>
    <row r="343" spans="1:11" x14ac:dyDescent="0.25">
      <c r="A343" s="17" t="s">
        <v>586</v>
      </c>
      <c r="B343" s="19">
        <v>46072</v>
      </c>
      <c r="C343" s="20">
        <f t="shared" si="10"/>
        <v>46054</v>
      </c>
      <c r="D343" s="17" t="s">
        <v>65</v>
      </c>
      <c r="E343" s="17" t="s">
        <v>22</v>
      </c>
      <c r="F343" s="17" t="s">
        <v>30</v>
      </c>
      <c r="G343" s="21">
        <v>2</v>
      </c>
      <c r="H343" s="12">
        <v>100.73</v>
      </c>
      <c r="I343" s="22">
        <v>0</v>
      </c>
      <c r="J343" s="12">
        <f t="shared" si="11"/>
        <v>201.46</v>
      </c>
      <c r="K343" s="17" t="s">
        <v>59</v>
      </c>
    </row>
    <row r="344" spans="1:11" x14ac:dyDescent="0.25">
      <c r="A344" s="17" t="s">
        <v>587</v>
      </c>
      <c r="B344" s="19">
        <v>46072</v>
      </c>
      <c r="C344" s="20">
        <f t="shared" si="10"/>
        <v>46054</v>
      </c>
      <c r="D344" s="17" t="s">
        <v>436</v>
      </c>
      <c r="E344" s="17" t="s">
        <v>24</v>
      </c>
      <c r="F344" s="17" t="s">
        <v>30</v>
      </c>
      <c r="G344" s="21">
        <v>2</v>
      </c>
      <c r="H344" s="12">
        <v>34.5</v>
      </c>
      <c r="I344" s="22">
        <v>0</v>
      </c>
      <c r="J344" s="12">
        <f t="shared" si="11"/>
        <v>69</v>
      </c>
      <c r="K344" s="17" t="s">
        <v>59</v>
      </c>
    </row>
    <row r="345" spans="1:11" x14ac:dyDescent="0.25">
      <c r="A345" s="17" t="s">
        <v>588</v>
      </c>
      <c r="B345" s="19">
        <v>46072</v>
      </c>
      <c r="C345" s="20">
        <f t="shared" si="10"/>
        <v>46054</v>
      </c>
      <c r="D345" s="17" t="s">
        <v>114</v>
      </c>
      <c r="E345" s="17" t="s">
        <v>24</v>
      </c>
      <c r="F345" s="17" t="s">
        <v>30</v>
      </c>
      <c r="G345" s="21">
        <v>3</v>
      </c>
      <c r="H345" s="12">
        <v>34.51</v>
      </c>
      <c r="I345" s="22">
        <v>0.1</v>
      </c>
      <c r="J345" s="12">
        <f t="shared" si="11"/>
        <v>93.18</v>
      </c>
      <c r="K345" s="17" t="s">
        <v>59</v>
      </c>
    </row>
    <row r="346" spans="1:11" x14ac:dyDescent="0.25">
      <c r="A346" s="17" t="s">
        <v>589</v>
      </c>
      <c r="B346" s="19">
        <v>46072</v>
      </c>
      <c r="C346" s="20">
        <f t="shared" si="10"/>
        <v>46054</v>
      </c>
      <c r="D346" s="17" t="s">
        <v>424</v>
      </c>
      <c r="E346" s="17" t="s">
        <v>16</v>
      </c>
      <c r="F346" s="17" t="s">
        <v>30</v>
      </c>
      <c r="G346" s="21">
        <v>5</v>
      </c>
      <c r="H346" s="12">
        <v>249.34</v>
      </c>
      <c r="I346" s="22">
        <v>0.15</v>
      </c>
      <c r="J346" s="12">
        <f t="shared" si="11"/>
        <v>1059.7</v>
      </c>
      <c r="K346" s="17" t="s">
        <v>59</v>
      </c>
    </row>
    <row r="347" spans="1:11" x14ac:dyDescent="0.25">
      <c r="A347" s="17" t="s">
        <v>590</v>
      </c>
      <c r="B347" s="19">
        <v>46072</v>
      </c>
      <c r="C347" s="20">
        <f t="shared" si="10"/>
        <v>46054</v>
      </c>
      <c r="D347" s="17" t="s">
        <v>499</v>
      </c>
      <c r="E347" s="17" t="s">
        <v>17</v>
      </c>
      <c r="F347" s="17" t="s">
        <v>30</v>
      </c>
      <c r="G347" s="21">
        <v>3</v>
      </c>
      <c r="H347" s="12">
        <v>224.45</v>
      </c>
      <c r="I347" s="22">
        <v>0.1</v>
      </c>
      <c r="J347" s="12">
        <f t="shared" si="11"/>
        <v>606.02</v>
      </c>
      <c r="K347" s="17" t="s">
        <v>43</v>
      </c>
    </row>
    <row r="348" spans="1:11" x14ac:dyDescent="0.25">
      <c r="A348" s="17" t="s">
        <v>591</v>
      </c>
      <c r="B348" s="19">
        <v>46072</v>
      </c>
      <c r="C348" s="20">
        <f t="shared" si="10"/>
        <v>46054</v>
      </c>
      <c r="D348" s="17" t="s">
        <v>592</v>
      </c>
      <c r="E348" s="17" t="s">
        <v>24</v>
      </c>
      <c r="F348" s="17" t="s">
        <v>30</v>
      </c>
      <c r="G348" s="21">
        <v>2</v>
      </c>
      <c r="H348" s="12">
        <v>36.03</v>
      </c>
      <c r="I348" s="22">
        <v>0.1</v>
      </c>
      <c r="J348" s="12">
        <f t="shared" si="11"/>
        <v>64.849999999999994</v>
      </c>
      <c r="K348" s="17" t="s">
        <v>43</v>
      </c>
    </row>
    <row r="349" spans="1:11" x14ac:dyDescent="0.25">
      <c r="A349" s="17" t="s">
        <v>593</v>
      </c>
      <c r="B349" s="19">
        <v>46072</v>
      </c>
      <c r="C349" s="20">
        <f t="shared" si="10"/>
        <v>46054</v>
      </c>
      <c r="D349" s="17" t="s">
        <v>594</v>
      </c>
      <c r="E349" s="17" t="s">
        <v>17</v>
      </c>
      <c r="F349" s="17" t="s">
        <v>30</v>
      </c>
      <c r="G349" s="21">
        <v>3</v>
      </c>
      <c r="H349" s="12">
        <v>220.8</v>
      </c>
      <c r="I349" s="22">
        <v>0.15</v>
      </c>
      <c r="J349" s="12">
        <f t="shared" si="11"/>
        <v>563.04</v>
      </c>
      <c r="K349" s="17" t="s">
        <v>43</v>
      </c>
    </row>
    <row r="350" spans="1:11" x14ac:dyDescent="0.25">
      <c r="A350" s="17" t="s">
        <v>595</v>
      </c>
      <c r="B350" s="19">
        <v>46072</v>
      </c>
      <c r="C350" s="20">
        <f t="shared" si="10"/>
        <v>46054</v>
      </c>
      <c r="D350" s="17" t="s">
        <v>150</v>
      </c>
      <c r="E350" s="17" t="s">
        <v>27</v>
      </c>
      <c r="F350" s="17" t="s">
        <v>30</v>
      </c>
      <c r="G350" s="21">
        <v>3</v>
      </c>
      <c r="H350" s="12">
        <v>13.25</v>
      </c>
      <c r="I350" s="22">
        <v>0.15</v>
      </c>
      <c r="J350" s="12">
        <f t="shared" si="11"/>
        <v>33.79</v>
      </c>
      <c r="K350" s="17" t="s">
        <v>43</v>
      </c>
    </row>
    <row r="351" spans="1:11" x14ac:dyDescent="0.25">
      <c r="A351" s="17" t="s">
        <v>596</v>
      </c>
      <c r="B351" s="19">
        <v>46072</v>
      </c>
      <c r="C351" s="20">
        <f t="shared" si="10"/>
        <v>46054</v>
      </c>
      <c r="D351" s="17" t="s">
        <v>431</v>
      </c>
      <c r="E351" s="17" t="s">
        <v>19</v>
      </c>
      <c r="F351" s="17" t="s">
        <v>31</v>
      </c>
      <c r="G351" s="21">
        <v>1</v>
      </c>
      <c r="H351" s="12">
        <v>127.37</v>
      </c>
      <c r="I351" s="22">
        <v>0.05</v>
      </c>
      <c r="J351" s="12">
        <f t="shared" si="11"/>
        <v>121</v>
      </c>
      <c r="K351" s="17" t="s">
        <v>48</v>
      </c>
    </row>
    <row r="352" spans="1:11" x14ac:dyDescent="0.25">
      <c r="A352" s="17" t="s">
        <v>597</v>
      </c>
      <c r="B352" s="19">
        <v>46073</v>
      </c>
      <c r="C352" s="20">
        <f t="shared" si="10"/>
        <v>46054</v>
      </c>
      <c r="D352" s="17" t="s">
        <v>359</v>
      </c>
      <c r="E352" s="17" t="s">
        <v>26</v>
      </c>
      <c r="F352" s="17" t="s">
        <v>30</v>
      </c>
      <c r="G352" s="21">
        <v>2</v>
      </c>
      <c r="H352" s="12">
        <v>24.31</v>
      </c>
      <c r="I352" s="22">
        <v>0.05</v>
      </c>
      <c r="J352" s="12">
        <f t="shared" si="11"/>
        <v>46.19</v>
      </c>
      <c r="K352" s="17" t="s">
        <v>59</v>
      </c>
    </row>
    <row r="353" spans="1:11" x14ac:dyDescent="0.25">
      <c r="A353" s="17" t="s">
        <v>598</v>
      </c>
      <c r="B353" s="19">
        <v>46073</v>
      </c>
      <c r="C353" s="20">
        <f t="shared" si="10"/>
        <v>46054</v>
      </c>
      <c r="D353" s="17" t="s">
        <v>146</v>
      </c>
      <c r="E353" s="17" t="s">
        <v>18</v>
      </c>
      <c r="F353" s="17" t="s">
        <v>30</v>
      </c>
      <c r="G353" s="21">
        <v>4</v>
      </c>
      <c r="H353" s="12">
        <v>151.13</v>
      </c>
      <c r="I353" s="22">
        <v>0.1</v>
      </c>
      <c r="J353" s="12">
        <f t="shared" si="11"/>
        <v>544.07000000000005</v>
      </c>
      <c r="K353" s="17" t="s">
        <v>59</v>
      </c>
    </row>
    <row r="354" spans="1:11" x14ac:dyDescent="0.25">
      <c r="A354" s="17" t="s">
        <v>599</v>
      </c>
      <c r="B354" s="19">
        <v>46073</v>
      </c>
      <c r="C354" s="20">
        <f t="shared" si="10"/>
        <v>46054</v>
      </c>
      <c r="D354" s="17" t="s">
        <v>69</v>
      </c>
      <c r="E354" s="17" t="s">
        <v>20</v>
      </c>
      <c r="F354" s="17" t="s">
        <v>30</v>
      </c>
      <c r="G354" s="21">
        <v>5</v>
      </c>
      <c r="H354" s="12">
        <v>86.7</v>
      </c>
      <c r="I354" s="22">
        <v>0</v>
      </c>
      <c r="J354" s="12">
        <f t="shared" si="11"/>
        <v>433.5</v>
      </c>
      <c r="K354" s="17" t="s">
        <v>43</v>
      </c>
    </row>
    <row r="355" spans="1:11" x14ac:dyDescent="0.25">
      <c r="A355" s="17" t="s">
        <v>600</v>
      </c>
      <c r="B355" s="19">
        <v>46073</v>
      </c>
      <c r="C355" s="20">
        <f t="shared" si="10"/>
        <v>46054</v>
      </c>
      <c r="D355" s="17" t="s">
        <v>601</v>
      </c>
      <c r="E355" s="17" t="s">
        <v>22</v>
      </c>
      <c r="F355" s="17" t="s">
        <v>31</v>
      </c>
      <c r="G355" s="21">
        <v>1</v>
      </c>
      <c r="H355" s="12">
        <v>96.9</v>
      </c>
      <c r="I355" s="22">
        <v>0.05</v>
      </c>
      <c r="J355" s="12">
        <f t="shared" si="11"/>
        <v>92.06</v>
      </c>
      <c r="K355" s="17" t="s">
        <v>48</v>
      </c>
    </row>
    <row r="356" spans="1:11" x14ac:dyDescent="0.25">
      <c r="A356" s="17" t="s">
        <v>602</v>
      </c>
      <c r="B356" s="19">
        <v>46073</v>
      </c>
      <c r="C356" s="20">
        <f t="shared" si="10"/>
        <v>46054</v>
      </c>
      <c r="D356" s="17" t="s">
        <v>58</v>
      </c>
      <c r="E356" s="17" t="s">
        <v>21</v>
      </c>
      <c r="F356" s="17" t="s">
        <v>31</v>
      </c>
      <c r="G356" s="21">
        <v>1</v>
      </c>
      <c r="H356" s="12">
        <v>80.27</v>
      </c>
      <c r="I356" s="22">
        <v>0</v>
      </c>
      <c r="J356" s="12">
        <f t="shared" si="11"/>
        <v>80.27</v>
      </c>
      <c r="K356" s="17" t="s">
        <v>48</v>
      </c>
    </row>
    <row r="357" spans="1:11" x14ac:dyDescent="0.25">
      <c r="A357" s="17" t="s">
        <v>603</v>
      </c>
      <c r="B357" s="19">
        <v>46074</v>
      </c>
      <c r="C357" s="20">
        <f t="shared" si="10"/>
        <v>46054</v>
      </c>
      <c r="D357" s="17" t="s">
        <v>510</v>
      </c>
      <c r="E357" s="17" t="s">
        <v>19</v>
      </c>
      <c r="F357" s="17" t="s">
        <v>30</v>
      </c>
      <c r="G357" s="21">
        <v>4</v>
      </c>
      <c r="H357" s="12">
        <v>126.07</v>
      </c>
      <c r="I357" s="22">
        <v>0.05</v>
      </c>
      <c r="J357" s="12">
        <f t="shared" si="11"/>
        <v>479.07</v>
      </c>
      <c r="K357" s="17" t="s">
        <v>59</v>
      </c>
    </row>
    <row r="358" spans="1:11" x14ac:dyDescent="0.25">
      <c r="A358" s="17" t="s">
        <v>604</v>
      </c>
      <c r="B358" s="19">
        <v>46074</v>
      </c>
      <c r="C358" s="20">
        <f t="shared" si="10"/>
        <v>46054</v>
      </c>
      <c r="D358" s="17" t="s">
        <v>605</v>
      </c>
      <c r="E358" s="17" t="s">
        <v>16</v>
      </c>
      <c r="F358" s="17" t="s">
        <v>30</v>
      </c>
      <c r="G358" s="21">
        <v>2</v>
      </c>
      <c r="H358" s="12">
        <v>254.68</v>
      </c>
      <c r="I358" s="22">
        <v>0</v>
      </c>
      <c r="J358" s="12">
        <f t="shared" si="11"/>
        <v>509.36</v>
      </c>
      <c r="K358" s="17" t="s">
        <v>59</v>
      </c>
    </row>
    <row r="359" spans="1:11" x14ac:dyDescent="0.25">
      <c r="A359" s="17" t="s">
        <v>606</v>
      </c>
      <c r="B359" s="19">
        <v>46074</v>
      </c>
      <c r="C359" s="20">
        <f t="shared" si="10"/>
        <v>46054</v>
      </c>
      <c r="D359" s="17" t="s">
        <v>118</v>
      </c>
      <c r="E359" s="17" t="s">
        <v>23</v>
      </c>
      <c r="F359" s="17" t="s">
        <v>30</v>
      </c>
      <c r="G359" s="21">
        <v>4</v>
      </c>
      <c r="H359" s="12">
        <v>57.61</v>
      </c>
      <c r="I359" s="22">
        <v>0</v>
      </c>
      <c r="J359" s="12">
        <f t="shared" si="11"/>
        <v>230.44</v>
      </c>
      <c r="K359" s="17" t="s">
        <v>59</v>
      </c>
    </row>
    <row r="360" spans="1:11" x14ac:dyDescent="0.25">
      <c r="A360" s="17" t="s">
        <v>607</v>
      </c>
      <c r="B360" s="19">
        <v>46074</v>
      </c>
      <c r="C360" s="20">
        <f t="shared" si="10"/>
        <v>46054</v>
      </c>
      <c r="D360" s="17" t="s">
        <v>438</v>
      </c>
      <c r="E360" s="17" t="s">
        <v>20</v>
      </c>
      <c r="F360" s="17" t="s">
        <v>30</v>
      </c>
      <c r="G360" s="21">
        <v>1</v>
      </c>
      <c r="H360" s="12">
        <v>90.85</v>
      </c>
      <c r="I360" s="22">
        <v>0.05</v>
      </c>
      <c r="J360" s="12">
        <f t="shared" si="11"/>
        <v>86.31</v>
      </c>
      <c r="K360" s="17" t="s">
        <v>59</v>
      </c>
    </row>
    <row r="361" spans="1:11" x14ac:dyDescent="0.25">
      <c r="A361" s="17" t="s">
        <v>608</v>
      </c>
      <c r="B361" s="19">
        <v>46074</v>
      </c>
      <c r="C361" s="20">
        <f t="shared" si="10"/>
        <v>46054</v>
      </c>
      <c r="D361" s="17" t="s">
        <v>73</v>
      </c>
      <c r="E361" s="17" t="s">
        <v>18</v>
      </c>
      <c r="F361" s="17" t="s">
        <v>31</v>
      </c>
      <c r="G361" s="21">
        <v>1</v>
      </c>
      <c r="H361" s="12">
        <v>144.77000000000001</v>
      </c>
      <c r="I361" s="22">
        <v>0</v>
      </c>
      <c r="J361" s="12">
        <f t="shared" si="11"/>
        <v>144.77000000000001</v>
      </c>
      <c r="K361" s="17" t="s">
        <v>48</v>
      </c>
    </row>
    <row r="362" spans="1:11" x14ac:dyDescent="0.25">
      <c r="A362" s="17" t="s">
        <v>609</v>
      </c>
      <c r="B362" s="19">
        <v>46075</v>
      </c>
      <c r="C362" s="20">
        <f t="shared" si="10"/>
        <v>46054</v>
      </c>
      <c r="D362" s="17" t="s">
        <v>610</v>
      </c>
      <c r="E362" s="17" t="s">
        <v>19</v>
      </c>
      <c r="F362" s="17" t="s">
        <v>30</v>
      </c>
      <c r="G362" s="21">
        <v>1</v>
      </c>
      <c r="H362" s="12">
        <v>130.08000000000001</v>
      </c>
      <c r="I362" s="22">
        <v>0</v>
      </c>
      <c r="J362" s="12">
        <f t="shared" si="11"/>
        <v>130.08000000000001</v>
      </c>
      <c r="K362" s="17" t="s">
        <v>59</v>
      </c>
    </row>
    <row r="363" spans="1:11" x14ac:dyDescent="0.25">
      <c r="A363" s="17" t="s">
        <v>611</v>
      </c>
      <c r="B363" s="19">
        <v>46075</v>
      </c>
      <c r="C363" s="20">
        <f t="shared" si="10"/>
        <v>46054</v>
      </c>
      <c r="D363" s="17" t="s">
        <v>82</v>
      </c>
      <c r="E363" s="17" t="s">
        <v>24</v>
      </c>
      <c r="F363" s="17" t="s">
        <v>30</v>
      </c>
      <c r="G363" s="21">
        <v>4</v>
      </c>
      <c r="H363" s="12">
        <v>35.81</v>
      </c>
      <c r="I363" s="22">
        <v>0.15</v>
      </c>
      <c r="J363" s="12">
        <f t="shared" si="11"/>
        <v>121.75</v>
      </c>
      <c r="K363" s="17" t="s">
        <v>43</v>
      </c>
    </row>
    <row r="364" spans="1:11" x14ac:dyDescent="0.25">
      <c r="A364" s="17" t="s">
        <v>612</v>
      </c>
      <c r="B364" s="19">
        <v>46075</v>
      </c>
      <c r="C364" s="20">
        <f t="shared" si="10"/>
        <v>46054</v>
      </c>
      <c r="D364" s="17" t="s">
        <v>539</v>
      </c>
      <c r="E364" s="17" t="s">
        <v>19</v>
      </c>
      <c r="F364" s="17" t="s">
        <v>31</v>
      </c>
      <c r="G364" s="21">
        <v>1</v>
      </c>
      <c r="H364" s="12">
        <v>132.1</v>
      </c>
      <c r="I364" s="22">
        <v>0.1</v>
      </c>
      <c r="J364" s="12">
        <f t="shared" si="11"/>
        <v>118.89</v>
      </c>
      <c r="K364" s="17" t="s">
        <v>48</v>
      </c>
    </row>
    <row r="365" spans="1:11" x14ac:dyDescent="0.25">
      <c r="A365" s="17" t="s">
        <v>613</v>
      </c>
      <c r="B365" s="19">
        <v>46075</v>
      </c>
      <c r="C365" s="20">
        <f t="shared" si="10"/>
        <v>46054</v>
      </c>
      <c r="D365" s="17" t="s">
        <v>287</v>
      </c>
      <c r="E365" s="17" t="s">
        <v>18</v>
      </c>
      <c r="F365" s="17" t="s">
        <v>31</v>
      </c>
      <c r="G365" s="21">
        <v>2</v>
      </c>
      <c r="H365" s="12">
        <v>144.9</v>
      </c>
      <c r="I365" s="22">
        <v>0</v>
      </c>
      <c r="J365" s="12">
        <f t="shared" si="11"/>
        <v>289.8</v>
      </c>
      <c r="K365" s="17" t="s">
        <v>48</v>
      </c>
    </row>
    <row r="366" spans="1:11" x14ac:dyDescent="0.25">
      <c r="A366" s="17" t="s">
        <v>614</v>
      </c>
      <c r="B366" s="19">
        <v>46076</v>
      </c>
      <c r="C366" s="20">
        <f t="shared" si="10"/>
        <v>46054</v>
      </c>
      <c r="D366" s="17" t="s">
        <v>94</v>
      </c>
      <c r="E366" s="17" t="s">
        <v>19</v>
      </c>
      <c r="F366" s="17" t="s">
        <v>30</v>
      </c>
      <c r="G366" s="21">
        <v>3</v>
      </c>
      <c r="H366" s="12">
        <v>128.4</v>
      </c>
      <c r="I366" s="22">
        <v>0.1</v>
      </c>
      <c r="J366" s="12">
        <f t="shared" si="11"/>
        <v>346.68</v>
      </c>
      <c r="K366" s="17" t="s">
        <v>59</v>
      </c>
    </row>
    <row r="367" spans="1:11" x14ac:dyDescent="0.25">
      <c r="A367" s="17" t="s">
        <v>615</v>
      </c>
      <c r="B367" s="19">
        <v>46076</v>
      </c>
      <c r="C367" s="20">
        <f t="shared" si="10"/>
        <v>46054</v>
      </c>
      <c r="D367" s="17" t="s">
        <v>616</v>
      </c>
      <c r="E367" s="17" t="s">
        <v>23</v>
      </c>
      <c r="F367" s="17" t="s">
        <v>30</v>
      </c>
      <c r="G367" s="21">
        <v>2</v>
      </c>
      <c r="H367" s="12">
        <v>60.24</v>
      </c>
      <c r="I367" s="22">
        <v>0</v>
      </c>
      <c r="J367" s="12">
        <f t="shared" si="11"/>
        <v>120.48</v>
      </c>
      <c r="K367" s="17" t="s">
        <v>43</v>
      </c>
    </row>
    <row r="368" spans="1:11" x14ac:dyDescent="0.25">
      <c r="A368" s="17" t="s">
        <v>617</v>
      </c>
      <c r="B368" s="19">
        <v>46076</v>
      </c>
      <c r="C368" s="20">
        <f t="shared" si="10"/>
        <v>46054</v>
      </c>
      <c r="D368" s="17" t="s">
        <v>212</v>
      </c>
      <c r="E368" s="17" t="s">
        <v>16</v>
      </c>
      <c r="F368" s="17" t="s">
        <v>30</v>
      </c>
      <c r="G368" s="21">
        <v>1</v>
      </c>
      <c r="H368" s="12">
        <v>253.67</v>
      </c>
      <c r="I368" s="22">
        <v>0.05</v>
      </c>
      <c r="J368" s="12">
        <f t="shared" si="11"/>
        <v>240.99</v>
      </c>
      <c r="K368" s="17" t="s">
        <v>43</v>
      </c>
    </row>
    <row r="369" spans="1:11" x14ac:dyDescent="0.25">
      <c r="A369" s="17" t="s">
        <v>618</v>
      </c>
      <c r="B369" s="19">
        <v>46076</v>
      </c>
      <c r="C369" s="20">
        <f t="shared" si="10"/>
        <v>46054</v>
      </c>
      <c r="D369" s="17" t="s">
        <v>619</v>
      </c>
      <c r="E369" s="17" t="s">
        <v>26</v>
      </c>
      <c r="F369" s="17" t="s">
        <v>31</v>
      </c>
      <c r="G369" s="21">
        <v>3</v>
      </c>
      <c r="H369" s="12">
        <v>24.76</v>
      </c>
      <c r="I369" s="22">
        <v>0.05</v>
      </c>
      <c r="J369" s="12">
        <f t="shared" si="11"/>
        <v>70.569999999999993</v>
      </c>
      <c r="K369" s="17" t="s">
        <v>48</v>
      </c>
    </row>
    <row r="370" spans="1:11" x14ac:dyDescent="0.25">
      <c r="A370" s="17" t="s">
        <v>620</v>
      </c>
      <c r="B370" s="19">
        <v>46076</v>
      </c>
      <c r="C370" s="20">
        <f t="shared" si="10"/>
        <v>46054</v>
      </c>
      <c r="D370" s="17" t="s">
        <v>197</v>
      </c>
      <c r="E370" s="17" t="s">
        <v>19</v>
      </c>
      <c r="F370" s="17" t="s">
        <v>31</v>
      </c>
      <c r="G370" s="21">
        <v>3</v>
      </c>
      <c r="H370" s="12">
        <v>131.69</v>
      </c>
      <c r="I370" s="22">
        <v>0.1</v>
      </c>
      <c r="J370" s="12">
        <f t="shared" si="11"/>
        <v>355.56</v>
      </c>
      <c r="K370" s="17" t="s">
        <v>48</v>
      </c>
    </row>
    <row r="371" spans="1:11" x14ac:dyDescent="0.25">
      <c r="A371" s="17" t="s">
        <v>621</v>
      </c>
      <c r="B371" s="19">
        <v>46076</v>
      </c>
      <c r="C371" s="20">
        <f t="shared" si="10"/>
        <v>46054</v>
      </c>
      <c r="D371" s="17" t="s">
        <v>374</v>
      </c>
      <c r="E371" s="17" t="s">
        <v>17</v>
      </c>
      <c r="F371" s="17" t="s">
        <v>31</v>
      </c>
      <c r="G371" s="21">
        <v>3</v>
      </c>
      <c r="H371" s="12">
        <v>222.38</v>
      </c>
      <c r="I371" s="22">
        <v>0.05</v>
      </c>
      <c r="J371" s="12">
        <f t="shared" si="11"/>
        <v>633.78</v>
      </c>
      <c r="K371" s="17" t="s">
        <v>48</v>
      </c>
    </row>
    <row r="372" spans="1:11" x14ac:dyDescent="0.25">
      <c r="A372" s="17" t="s">
        <v>622</v>
      </c>
      <c r="B372" s="19">
        <v>46076</v>
      </c>
      <c r="C372" s="20">
        <f t="shared" si="10"/>
        <v>46054</v>
      </c>
      <c r="D372" s="17" t="s">
        <v>601</v>
      </c>
      <c r="E372" s="17" t="s">
        <v>20</v>
      </c>
      <c r="F372" s="17" t="s">
        <v>31</v>
      </c>
      <c r="G372" s="21">
        <v>1</v>
      </c>
      <c r="H372" s="12">
        <v>91.18</v>
      </c>
      <c r="I372" s="22">
        <v>0.05</v>
      </c>
      <c r="J372" s="12">
        <f t="shared" si="11"/>
        <v>86.62</v>
      </c>
      <c r="K372" s="17" t="s">
        <v>48</v>
      </c>
    </row>
    <row r="373" spans="1:11" x14ac:dyDescent="0.25">
      <c r="A373" s="17" t="s">
        <v>623</v>
      </c>
      <c r="B373" s="19">
        <v>46076</v>
      </c>
      <c r="C373" s="20">
        <f t="shared" si="10"/>
        <v>46054</v>
      </c>
      <c r="D373" s="17" t="s">
        <v>318</v>
      </c>
      <c r="E373" s="17" t="s">
        <v>18</v>
      </c>
      <c r="F373" s="17" t="s">
        <v>31</v>
      </c>
      <c r="G373" s="21">
        <v>5</v>
      </c>
      <c r="H373" s="12">
        <v>152.5</v>
      </c>
      <c r="I373" s="22">
        <v>0</v>
      </c>
      <c r="J373" s="12">
        <f t="shared" si="11"/>
        <v>762.5</v>
      </c>
      <c r="K373" s="17" t="s">
        <v>48</v>
      </c>
    </row>
    <row r="374" spans="1:11" x14ac:dyDescent="0.25">
      <c r="A374" s="17" t="s">
        <v>624</v>
      </c>
      <c r="B374" s="19">
        <v>46076</v>
      </c>
      <c r="C374" s="20">
        <f t="shared" si="10"/>
        <v>46054</v>
      </c>
      <c r="D374" s="17" t="s">
        <v>404</v>
      </c>
      <c r="E374" s="17" t="s">
        <v>19</v>
      </c>
      <c r="F374" s="17" t="s">
        <v>31</v>
      </c>
      <c r="G374" s="21">
        <v>2</v>
      </c>
      <c r="H374" s="12">
        <v>128.54</v>
      </c>
      <c r="I374" s="22">
        <v>0</v>
      </c>
      <c r="J374" s="12">
        <f t="shared" si="11"/>
        <v>257.08</v>
      </c>
      <c r="K374" s="17" t="s">
        <v>48</v>
      </c>
    </row>
    <row r="375" spans="1:11" x14ac:dyDescent="0.25">
      <c r="A375" s="17" t="s">
        <v>625</v>
      </c>
      <c r="B375" s="19">
        <v>46076</v>
      </c>
      <c r="C375" s="20">
        <f t="shared" si="10"/>
        <v>46054</v>
      </c>
      <c r="D375" s="17" t="s">
        <v>626</v>
      </c>
      <c r="E375" s="17" t="s">
        <v>26</v>
      </c>
      <c r="F375" s="17" t="s">
        <v>31</v>
      </c>
      <c r="G375" s="21">
        <v>4</v>
      </c>
      <c r="H375" s="12">
        <v>24.51</v>
      </c>
      <c r="I375" s="22">
        <v>0.15</v>
      </c>
      <c r="J375" s="12">
        <f t="shared" si="11"/>
        <v>83.33</v>
      </c>
      <c r="K375" s="17" t="s">
        <v>48</v>
      </c>
    </row>
    <row r="376" spans="1:11" x14ac:dyDescent="0.25">
      <c r="A376" s="17" t="s">
        <v>627</v>
      </c>
      <c r="B376" s="19">
        <v>46076</v>
      </c>
      <c r="C376" s="20">
        <f t="shared" si="10"/>
        <v>46054</v>
      </c>
      <c r="D376" s="17" t="s">
        <v>301</v>
      </c>
      <c r="E376" s="17" t="s">
        <v>19</v>
      </c>
      <c r="F376" s="17" t="s">
        <v>31</v>
      </c>
      <c r="G376" s="21">
        <v>5</v>
      </c>
      <c r="H376" s="12">
        <v>131.47</v>
      </c>
      <c r="I376" s="22">
        <v>0.1</v>
      </c>
      <c r="J376" s="12">
        <f t="shared" si="11"/>
        <v>591.62</v>
      </c>
      <c r="K376" s="17" t="s">
        <v>48</v>
      </c>
    </row>
    <row r="377" spans="1:11" x14ac:dyDescent="0.25">
      <c r="A377" s="17" t="s">
        <v>628</v>
      </c>
      <c r="B377" s="19">
        <v>46077</v>
      </c>
      <c r="C377" s="20">
        <f t="shared" si="10"/>
        <v>46054</v>
      </c>
      <c r="D377" s="17" t="s">
        <v>629</v>
      </c>
      <c r="E377" s="17" t="s">
        <v>24</v>
      </c>
      <c r="F377" s="17" t="s">
        <v>30</v>
      </c>
      <c r="G377" s="21">
        <v>1</v>
      </c>
      <c r="H377" s="12">
        <v>34.17</v>
      </c>
      <c r="I377" s="22">
        <v>0.15</v>
      </c>
      <c r="J377" s="12">
        <f t="shared" si="11"/>
        <v>29.04</v>
      </c>
      <c r="K377" s="17" t="s">
        <v>59</v>
      </c>
    </row>
    <row r="378" spans="1:11" x14ac:dyDescent="0.25">
      <c r="A378" s="17" t="s">
        <v>630</v>
      </c>
      <c r="B378" s="19">
        <v>46077</v>
      </c>
      <c r="C378" s="20">
        <f t="shared" si="10"/>
        <v>46054</v>
      </c>
      <c r="D378" s="17" t="s">
        <v>631</v>
      </c>
      <c r="E378" s="17" t="s">
        <v>23</v>
      </c>
      <c r="F378" s="17" t="s">
        <v>30</v>
      </c>
      <c r="G378" s="21">
        <v>5</v>
      </c>
      <c r="H378" s="12">
        <v>60.24</v>
      </c>
      <c r="I378" s="22">
        <v>0</v>
      </c>
      <c r="J378" s="12">
        <f t="shared" si="11"/>
        <v>301.2</v>
      </c>
      <c r="K378" s="17" t="s">
        <v>43</v>
      </c>
    </row>
    <row r="379" spans="1:11" x14ac:dyDescent="0.25">
      <c r="A379" s="17" t="s">
        <v>632</v>
      </c>
      <c r="B379" s="19">
        <v>46077</v>
      </c>
      <c r="C379" s="20">
        <f t="shared" si="10"/>
        <v>46054</v>
      </c>
      <c r="D379" s="17" t="s">
        <v>633</v>
      </c>
      <c r="E379" s="17" t="s">
        <v>22</v>
      </c>
      <c r="F379" s="17" t="s">
        <v>30</v>
      </c>
      <c r="G379" s="21">
        <v>2</v>
      </c>
      <c r="H379" s="12">
        <v>98.77</v>
      </c>
      <c r="I379" s="22">
        <v>0.05</v>
      </c>
      <c r="J379" s="12">
        <f t="shared" si="11"/>
        <v>187.66</v>
      </c>
      <c r="K379" s="17" t="s">
        <v>43</v>
      </c>
    </row>
    <row r="380" spans="1:11" x14ac:dyDescent="0.25">
      <c r="A380" s="17" t="s">
        <v>634</v>
      </c>
      <c r="B380" s="19">
        <v>46077</v>
      </c>
      <c r="C380" s="20">
        <f t="shared" si="10"/>
        <v>46054</v>
      </c>
      <c r="D380" s="17" t="s">
        <v>635</v>
      </c>
      <c r="E380" s="17" t="s">
        <v>18</v>
      </c>
      <c r="F380" s="17" t="s">
        <v>31</v>
      </c>
      <c r="G380" s="21">
        <v>2</v>
      </c>
      <c r="H380" s="12">
        <v>148.65</v>
      </c>
      <c r="I380" s="22">
        <v>0.1</v>
      </c>
      <c r="J380" s="12">
        <f t="shared" si="11"/>
        <v>267.57</v>
      </c>
      <c r="K380" s="17" t="s">
        <v>48</v>
      </c>
    </row>
    <row r="381" spans="1:11" x14ac:dyDescent="0.25">
      <c r="A381" s="17" t="s">
        <v>636</v>
      </c>
      <c r="B381" s="19">
        <v>46077</v>
      </c>
      <c r="C381" s="20">
        <f t="shared" si="10"/>
        <v>46054</v>
      </c>
      <c r="D381" s="17" t="s">
        <v>637</v>
      </c>
      <c r="E381" s="17" t="s">
        <v>19</v>
      </c>
      <c r="F381" s="17" t="s">
        <v>31</v>
      </c>
      <c r="G381" s="21">
        <v>1</v>
      </c>
      <c r="H381" s="12">
        <v>129.19</v>
      </c>
      <c r="I381" s="22">
        <v>0</v>
      </c>
      <c r="J381" s="12">
        <f t="shared" si="11"/>
        <v>129.19</v>
      </c>
      <c r="K381" s="17" t="s">
        <v>48</v>
      </c>
    </row>
    <row r="382" spans="1:11" x14ac:dyDescent="0.25">
      <c r="A382" s="17" t="s">
        <v>638</v>
      </c>
      <c r="B382" s="19">
        <v>46077</v>
      </c>
      <c r="C382" s="20">
        <f t="shared" si="10"/>
        <v>46054</v>
      </c>
      <c r="D382" s="17" t="s">
        <v>159</v>
      </c>
      <c r="E382" s="17" t="s">
        <v>20</v>
      </c>
      <c r="F382" s="17" t="s">
        <v>31</v>
      </c>
      <c r="G382" s="21">
        <v>3</v>
      </c>
      <c r="H382" s="12">
        <v>88.16</v>
      </c>
      <c r="I382" s="22">
        <v>0.1</v>
      </c>
      <c r="J382" s="12">
        <f t="shared" si="11"/>
        <v>238.03</v>
      </c>
      <c r="K382" s="17" t="s">
        <v>48</v>
      </c>
    </row>
    <row r="383" spans="1:11" x14ac:dyDescent="0.25">
      <c r="A383" s="17" t="s">
        <v>639</v>
      </c>
      <c r="B383" s="19">
        <v>46077</v>
      </c>
      <c r="C383" s="20">
        <f t="shared" si="10"/>
        <v>46054</v>
      </c>
      <c r="D383" s="17" t="s">
        <v>164</v>
      </c>
      <c r="E383" s="17" t="s">
        <v>21</v>
      </c>
      <c r="F383" s="17" t="s">
        <v>31</v>
      </c>
      <c r="G383" s="21">
        <v>5</v>
      </c>
      <c r="H383" s="12">
        <v>77.25</v>
      </c>
      <c r="I383" s="22">
        <v>0</v>
      </c>
      <c r="J383" s="12">
        <f t="shared" si="11"/>
        <v>386.25</v>
      </c>
      <c r="K383" s="17" t="s">
        <v>48</v>
      </c>
    </row>
    <row r="384" spans="1:11" x14ac:dyDescent="0.25">
      <c r="A384" s="17" t="s">
        <v>640</v>
      </c>
      <c r="B384" s="19">
        <v>46077</v>
      </c>
      <c r="C384" s="20">
        <f t="shared" si="10"/>
        <v>46054</v>
      </c>
      <c r="D384" s="17" t="s">
        <v>308</v>
      </c>
      <c r="E384" s="17" t="s">
        <v>25</v>
      </c>
      <c r="F384" s="17" t="s">
        <v>31</v>
      </c>
      <c r="G384" s="21">
        <v>2</v>
      </c>
      <c r="H384" s="12">
        <v>30.19</v>
      </c>
      <c r="I384" s="22">
        <v>0.1</v>
      </c>
      <c r="J384" s="12">
        <f t="shared" si="11"/>
        <v>54.34</v>
      </c>
      <c r="K384" s="17" t="s">
        <v>48</v>
      </c>
    </row>
    <row r="385" spans="1:11" x14ac:dyDescent="0.25">
      <c r="A385" s="17" t="s">
        <v>641</v>
      </c>
      <c r="B385" s="19">
        <v>46078</v>
      </c>
      <c r="C385" s="20">
        <f t="shared" si="10"/>
        <v>46054</v>
      </c>
      <c r="D385" s="17" t="s">
        <v>78</v>
      </c>
      <c r="E385" s="17" t="s">
        <v>16</v>
      </c>
      <c r="F385" s="17" t="s">
        <v>30</v>
      </c>
      <c r="G385" s="21">
        <v>2</v>
      </c>
      <c r="H385" s="12">
        <v>253.96</v>
      </c>
      <c r="I385" s="22">
        <v>0.15</v>
      </c>
      <c r="J385" s="12">
        <f t="shared" si="11"/>
        <v>431.73</v>
      </c>
      <c r="K385" s="17" t="s">
        <v>59</v>
      </c>
    </row>
    <row r="386" spans="1:11" x14ac:dyDescent="0.25">
      <c r="A386" s="17" t="s">
        <v>642</v>
      </c>
      <c r="B386" s="19">
        <v>46078</v>
      </c>
      <c r="C386" s="20">
        <f t="shared" ref="C386:C449" si="12">DATE(YEAR(B386),MONTH(B386),1)</f>
        <v>46054</v>
      </c>
      <c r="D386" s="17" t="s">
        <v>643</v>
      </c>
      <c r="E386" s="17" t="s">
        <v>16</v>
      </c>
      <c r="F386" s="17" t="s">
        <v>30</v>
      </c>
      <c r="G386" s="21">
        <v>3</v>
      </c>
      <c r="H386" s="12">
        <v>256.31</v>
      </c>
      <c r="I386" s="22">
        <v>0</v>
      </c>
      <c r="J386" s="12">
        <f t="shared" ref="J386:J449" si="13">ROUND(G386*H386*(1-I386),2)</f>
        <v>768.93</v>
      </c>
      <c r="K386" s="17" t="s">
        <v>43</v>
      </c>
    </row>
    <row r="387" spans="1:11" x14ac:dyDescent="0.25">
      <c r="A387" s="17" t="s">
        <v>644</v>
      </c>
      <c r="B387" s="19">
        <v>46078</v>
      </c>
      <c r="C387" s="20">
        <f t="shared" si="12"/>
        <v>46054</v>
      </c>
      <c r="D387" s="17" t="s">
        <v>395</v>
      </c>
      <c r="E387" s="17" t="s">
        <v>22</v>
      </c>
      <c r="F387" s="17" t="s">
        <v>31</v>
      </c>
      <c r="G387" s="21">
        <v>1</v>
      </c>
      <c r="H387" s="12">
        <v>101.21</v>
      </c>
      <c r="I387" s="22">
        <v>0</v>
      </c>
      <c r="J387" s="12">
        <f t="shared" si="13"/>
        <v>101.21</v>
      </c>
      <c r="K387" s="17" t="s">
        <v>48</v>
      </c>
    </row>
    <row r="388" spans="1:11" x14ac:dyDescent="0.25">
      <c r="A388" s="17" t="s">
        <v>645</v>
      </c>
      <c r="B388" s="19">
        <v>46078</v>
      </c>
      <c r="C388" s="20">
        <f t="shared" si="12"/>
        <v>46054</v>
      </c>
      <c r="D388" s="17" t="s">
        <v>643</v>
      </c>
      <c r="E388" s="17" t="s">
        <v>21</v>
      </c>
      <c r="F388" s="17" t="s">
        <v>31</v>
      </c>
      <c r="G388" s="21">
        <v>1</v>
      </c>
      <c r="H388" s="12">
        <v>79.930000000000007</v>
      </c>
      <c r="I388" s="22">
        <v>0</v>
      </c>
      <c r="J388" s="12">
        <f t="shared" si="13"/>
        <v>79.930000000000007</v>
      </c>
      <c r="K388" s="17" t="s">
        <v>48</v>
      </c>
    </row>
    <row r="389" spans="1:11" x14ac:dyDescent="0.25">
      <c r="A389" s="17" t="s">
        <v>646</v>
      </c>
      <c r="B389" s="19">
        <v>46078</v>
      </c>
      <c r="C389" s="20">
        <f t="shared" si="12"/>
        <v>46054</v>
      </c>
      <c r="D389" s="17" t="s">
        <v>643</v>
      </c>
      <c r="E389" s="17" t="s">
        <v>24</v>
      </c>
      <c r="F389" s="17" t="s">
        <v>31</v>
      </c>
      <c r="G389" s="21">
        <v>1</v>
      </c>
      <c r="H389" s="12">
        <v>35.9</v>
      </c>
      <c r="I389" s="22">
        <v>0</v>
      </c>
      <c r="J389" s="12">
        <f t="shared" si="13"/>
        <v>35.9</v>
      </c>
      <c r="K389" s="17" t="s">
        <v>48</v>
      </c>
    </row>
    <row r="390" spans="1:11" x14ac:dyDescent="0.25">
      <c r="A390" s="17" t="s">
        <v>647</v>
      </c>
      <c r="B390" s="19">
        <v>46078</v>
      </c>
      <c r="C390" s="20">
        <f t="shared" si="12"/>
        <v>46054</v>
      </c>
      <c r="D390" s="17" t="s">
        <v>137</v>
      </c>
      <c r="E390" s="17" t="s">
        <v>16</v>
      </c>
      <c r="F390" s="17" t="s">
        <v>31</v>
      </c>
      <c r="G390" s="21">
        <v>5</v>
      </c>
      <c r="H390" s="12">
        <v>253.31</v>
      </c>
      <c r="I390" s="22">
        <v>0.1</v>
      </c>
      <c r="J390" s="12">
        <f t="shared" si="13"/>
        <v>1139.9000000000001</v>
      </c>
      <c r="K390" s="17" t="s">
        <v>48</v>
      </c>
    </row>
    <row r="391" spans="1:11" x14ac:dyDescent="0.25">
      <c r="A391" s="17" t="s">
        <v>648</v>
      </c>
      <c r="B391" s="19">
        <v>46079</v>
      </c>
      <c r="C391" s="20">
        <f t="shared" si="12"/>
        <v>46054</v>
      </c>
      <c r="D391" s="17" t="s">
        <v>649</v>
      </c>
      <c r="E391" s="17" t="s">
        <v>27</v>
      </c>
      <c r="F391" s="17" t="s">
        <v>30</v>
      </c>
      <c r="G391" s="21">
        <v>4</v>
      </c>
      <c r="H391" s="12">
        <v>12.93</v>
      </c>
      <c r="I391" s="22">
        <v>0</v>
      </c>
      <c r="J391" s="12">
        <f t="shared" si="13"/>
        <v>51.72</v>
      </c>
      <c r="K391" s="17" t="s">
        <v>59</v>
      </c>
    </row>
    <row r="392" spans="1:11" x14ac:dyDescent="0.25">
      <c r="A392" s="17" t="s">
        <v>650</v>
      </c>
      <c r="B392" s="19">
        <v>46079</v>
      </c>
      <c r="C392" s="20">
        <f t="shared" si="12"/>
        <v>46054</v>
      </c>
      <c r="D392" s="17" t="s">
        <v>651</v>
      </c>
      <c r="E392" s="17" t="s">
        <v>22</v>
      </c>
      <c r="F392" s="17" t="s">
        <v>30</v>
      </c>
      <c r="G392" s="21">
        <v>2</v>
      </c>
      <c r="H392" s="12">
        <v>100.37</v>
      </c>
      <c r="I392" s="22">
        <v>0.1</v>
      </c>
      <c r="J392" s="12">
        <f t="shared" si="13"/>
        <v>180.67</v>
      </c>
      <c r="K392" s="17" t="s">
        <v>43</v>
      </c>
    </row>
    <row r="393" spans="1:11" x14ac:dyDescent="0.25">
      <c r="A393" s="17" t="s">
        <v>652</v>
      </c>
      <c r="B393" s="19">
        <v>46079</v>
      </c>
      <c r="C393" s="20">
        <f t="shared" si="12"/>
        <v>46054</v>
      </c>
      <c r="D393" s="17" t="s">
        <v>651</v>
      </c>
      <c r="E393" s="17" t="s">
        <v>18</v>
      </c>
      <c r="F393" s="17" t="s">
        <v>30</v>
      </c>
      <c r="G393" s="21">
        <v>5</v>
      </c>
      <c r="H393" s="12">
        <v>152.54</v>
      </c>
      <c r="I393" s="22">
        <v>0</v>
      </c>
      <c r="J393" s="12">
        <f t="shared" si="13"/>
        <v>762.7</v>
      </c>
      <c r="K393" s="17" t="s">
        <v>43</v>
      </c>
    </row>
    <row r="394" spans="1:11" x14ac:dyDescent="0.25">
      <c r="A394" s="17" t="s">
        <v>653</v>
      </c>
      <c r="B394" s="19">
        <v>46079</v>
      </c>
      <c r="C394" s="20">
        <f t="shared" si="12"/>
        <v>46054</v>
      </c>
      <c r="D394" s="17" t="s">
        <v>308</v>
      </c>
      <c r="E394" s="17" t="s">
        <v>23</v>
      </c>
      <c r="F394" s="17" t="s">
        <v>30</v>
      </c>
      <c r="G394" s="21">
        <v>1</v>
      </c>
      <c r="H394" s="12">
        <v>58.07</v>
      </c>
      <c r="I394" s="22">
        <v>0</v>
      </c>
      <c r="J394" s="12">
        <f t="shared" si="13"/>
        <v>58.07</v>
      </c>
      <c r="K394" s="17" t="s">
        <v>43</v>
      </c>
    </row>
    <row r="395" spans="1:11" x14ac:dyDescent="0.25">
      <c r="A395" s="17" t="s">
        <v>654</v>
      </c>
      <c r="B395" s="19">
        <v>46079</v>
      </c>
      <c r="C395" s="20">
        <f t="shared" si="12"/>
        <v>46054</v>
      </c>
      <c r="D395" s="17" t="s">
        <v>78</v>
      </c>
      <c r="E395" s="17" t="s">
        <v>23</v>
      </c>
      <c r="F395" s="17" t="s">
        <v>31</v>
      </c>
      <c r="G395" s="21">
        <v>4</v>
      </c>
      <c r="H395" s="12">
        <v>59.67</v>
      </c>
      <c r="I395" s="22">
        <v>0.05</v>
      </c>
      <c r="J395" s="12">
        <f t="shared" si="13"/>
        <v>226.75</v>
      </c>
      <c r="K395" s="17" t="s">
        <v>48</v>
      </c>
    </row>
    <row r="396" spans="1:11" x14ac:dyDescent="0.25">
      <c r="A396" s="17" t="s">
        <v>655</v>
      </c>
      <c r="B396" s="19">
        <v>46079</v>
      </c>
      <c r="C396" s="20">
        <f t="shared" si="12"/>
        <v>46054</v>
      </c>
      <c r="D396" s="17" t="s">
        <v>656</v>
      </c>
      <c r="E396" s="17" t="s">
        <v>17</v>
      </c>
      <c r="F396" s="17" t="s">
        <v>31</v>
      </c>
      <c r="G396" s="21">
        <v>2</v>
      </c>
      <c r="H396" s="12">
        <v>214.18</v>
      </c>
      <c r="I396" s="22">
        <v>0</v>
      </c>
      <c r="J396" s="12">
        <f t="shared" si="13"/>
        <v>428.36</v>
      </c>
      <c r="K396" s="17" t="s">
        <v>48</v>
      </c>
    </row>
    <row r="397" spans="1:11" x14ac:dyDescent="0.25">
      <c r="A397" s="17" t="s">
        <v>657</v>
      </c>
      <c r="B397" s="19">
        <v>46079</v>
      </c>
      <c r="C397" s="20">
        <f t="shared" si="12"/>
        <v>46054</v>
      </c>
      <c r="D397" s="17" t="s">
        <v>320</v>
      </c>
      <c r="E397" s="17" t="s">
        <v>27</v>
      </c>
      <c r="F397" s="17" t="s">
        <v>31</v>
      </c>
      <c r="G397" s="21">
        <v>3</v>
      </c>
      <c r="H397" s="12">
        <v>13.21</v>
      </c>
      <c r="I397" s="22">
        <v>0.05</v>
      </c>
      <c r="J397" s="12">
        <f t="shared" si="13"/>
        <v>37.65</v>
      </c>
      <c r="K397" s="17" t="s">
        <v>48</v>
      </c>
    </row>
    <row r="398" spans="1:11" x14ac:dyDescent="0.25">
      <c r="A398" s="17" t="s">
        <v>658</v>
      </c>
      <c r="B398" s="19">
        <v>46079</v>
      </c>
      <c r="C398" s="20">
        <f t="shared" si="12"/>
        <v>46054</v>
      </c>
      <c r="D398" s="17" t="s">
        <v>659</v>
      </c>
      <c r="E398" s="17" t="s">
        <v>17</v>
      </c>
      <c r="F398" s="17" t="s">
        <v>31</v>
      </c>
      <c r="G398" s="21">
        <v>1</v>
      </c>
      <c r="H398" s="12">
        <v>218.83</v>
      </c>
      <c r="I398" s="22">
        <v>0.1</v>
      </c>
      <c r="J398" s="12">
        <f t="shared" si="13"/>
        <v>196.95</v>
      </c>
      <c r="K398" s="17" t="s">
        <v>48</v>
      </c>
    </row>
    <row r="399" spans="1:11" x14ac:dyDescent="0.25">
      <c r="A399" s="17" t="s">
        <v>660</v>
      </c>
      <c r="B399" s="19">
        <v>46079</v>
      </c>
      <c r="C399" s="20">
        <f t="shared" si="12"/>
        <v>46054</v>
      </c>
      <c r="D399" s="17" t="s">
        <v>661</v>
      </c>
      <c r="E399" s="17" t="s">
        <v>16</v>
      </c>
      <c r="F399" s="17" t="s">
        <v>31</v>
      </c>
      <c r="G399" s="21">
        <v>4</v>
      </c>
      <c r="H399" s="12">
        <v>246.12</v>
      </c>
      <c r="I399" s="22">
        <v>0.1</v>
      </c>
      <c r="J399" s="12">
        <f t="shared" si="13"/>
        <v>886.03</v>
      </c>
      <c r="K399" s="17" t="s">
        <v>48</v>
      </c>
    </row>
    <row r="400" spans="1:11" x14ac:dyDescent="0.25">
      <c r="A400" s="17" t="s">
        <v>662</v>
      </c>
      <c r="B400" s="19">
        <v>46080</v>
      </c>
      <c r="C400" s="20">
        <f t="shared" si="12"/>
        <v>46054</v>
      </c>
      <c r="D400" s="17" t="s">
        <v>42</v>
      </c>
      <c r="E400" s="17" t="s">
        <v>26</v>
      </c>
      <c r="F400" s="17" t="s">
        <v>30</v>
      </c>
      <c r="G400" s="21">
        <v>1</v>
      </c>
      <c r="H400" s="12">
        <v>25.2</v>
      </c>
      <c r="I400" s="22">
        <v>0</v>
      </c>
      <c r="J400" s="12">
        <f t="shared" si="13"/>
        <v>25.2</v>
      </c>
      <c r="K400" s="17" t="s">
        <v>59</v>
      </c>
    </row>
    <row r="401" spans="1:11" x14ac:dyDescent="0.25">
      <c r="A401" s="17" t="s">
        <v>663</v>
      </c>
      <c r="B401" s="19">
        <v>46080</v>
      </c>
      <c r="C401" s="20">
        <f t="shared" si="12"/>
        <v>46054</v>
      </c>
      <c r="D401" s="17" t="s">
        <v>664</v>
      </c>
      <c r="E401" s="17" t="s">
        <v>20</v>
      </c>
      <c r="F401" s="17" t="s">
        <v>30</v>
      </c>
      <c r="G401" s="21">
        <v>1</v>
      </c>
      <c r="H401" s="12">
        <v>86.7</v>
      </c>
      <c r="I401" s="22">
        <v>0.15</v>
      </c>
      <c r="J401" s="12">
        <f t="shared" si="13"/>
        <v>73.7</v>
      </c>
      <c r="K401" s="17" t="s">
        <v>43</v>
      </c>
    </row>
    <row r="402" spans="1:11" x14ac:dyDescent="0.25">
      <c r="A402" s="17" t="s">
        <v>665</v>
      </c>
      <c r="B402" s="19">
        <v>46080</v>
      </c>
      <c r="C402" s="20">
        <f t="shared" si="12"/>
        <v>46054</v>
      </c>
      <c r="D402" s="17" t="s">
        <v>285</v>
      </c>
      <c r="E402" s="17" t="s">
        <v>21</v>
      </c>
      <c r="F402" s="17" t="s">
        <v>30</v>
      </c>
      <c r="G402" s="21">
        <v>1</v>
      </c>
      <c r="H402" s="12">
        <v>78.37</v>
      </c>
      <c r="I402" s="22">
        <v>0</v>
      </c>
      <c r="J402" s="12">
        <f t="shared" si="13"/>
        <v>78.37</v>
      </c>
      <c r="K402" s="17" t="s">
        <v>43</v>
      </c>
    </row>
    <row r="403" spans="1:11" x14ac:dyDescent="0.25">
      <c r="A403" s="17" t="s">
        <v>666</v>
      </c>
      <c r="B403" s="19">
        <v>46080</v>
      </c>
      <c r="C403" s="20">
        <f t="shared" si="12"/>
        <v>46054</v>
      </c>
      <c r="D403" s="17" t="s">
        <v>426</v>
      </c>
      <c r="E403" s="17" t="s">
        <v>16</v>
      </c>
      <c r="F403" s="17" t="s">
        <v>31</v>
      </c>
      <c r="G403" s="21">
        <v>2</v>
      </c>
      <c r="H403" s="12">
        <v>247.62</v>
      </c>
      <c r="I403" s="22">
        <v>0.1</v>
      </c>
      <c r="J403" s="12">
        <f t="shared" si="13"/>
        <v>445.72</v>
      </c>
      <c r="K403" s="17" t="s">
        <v>48</v>
      </c>
    </row>
    <row r="404" spans="1:11" x14ac:dyDescent="0.25">
      <c r="A404" s="17" t="s">
        <v>667</v>
      </c>
      <c r="B404" s="19">
        <v>46080</v>
      </c>
      <c r="C404" s="20">
        <f t="shared" si="12"/>
        <v>46054</v>
      </c>
      <c r="D404" s="17" t="s">
        <v>631</v>
      </c>
      <c r="E404" s="17" t="s">
        <v>21</v>
      </c>
      <c r="F404" s="17" t="s">
        <v>31</v>
      </c>
      <c r="G404" s="21">
        <v>4</v>
      </c>
      <c r="H404" s="12">
        <v>77.17</v>
      </c>
      <c r="I404" s="22">
        <v>0</v>
      </c>
      <c r="J404" s="12">
        <f t="shared" si="13"/>
        <v>308.68</v>
      </c>
      <c r="K404" s="17" t="s">
        <v>48</v>
      </c>
    </row>
    <row r="405" spans="1:11" x14ac:dyDescent="0.25">
      <c r="A405" s="17" t="s">
        <v>668</v>
      </c>
      <c r="B405" s="19">
        <v>46080</v>
      </c>
      <c r="C405" s="20">
        <f t="shared" si="12"/>
        <v>46054</v>
      </c>
      <c r="D405" s="17" t="s">
        <v>669</v>
      </c>
      <c r="E405" s="17" t="s">
        <v>18</v>
      </c>
      <c r="F405" s="17" t="s">
        <v>31</v>
      </c>
      <c r="G405" s="21">
        <v>1</v>
      </c>
      <c r="H405" s="12">
        <v>148.88</v>
      </c>
      <c r="I405" s="22">
        <v>0</v>
      </c>
      <c r="J405" s="12">
        <f t="shared" si="13"/>
        <v>148.88</v>
      </c>
      <c r="K405" s="17" t="s">
        <v>48</v>
      </c>
    </row>
    <row r="406" spans="1:11" x14ac:dyDescent="0.25">
      <c r="A406" s="17" t="s">
        <v>670</v>
      </c>
      <c r="B406" s="19">
        <v>46080</v>
      </c>
      <c r="C406" s="20">
        <f t="shared" si="12"/>
        <v>46054</v>
      </c>
      <c r="D406" s="17" t="s">
        <v>102</v>
      </c>
      <c r="E406" s="17" t="s">
        <v>23</v>
      </c>
      <c r="F406" s="17" t="s">
        <v>31</v>
      </c>
      <c r="G406" s="21">
        <v>4</v>
      </c>
      <c r="H406" s="12">
        <v>57.69</v>
      </c>
      <c r="I406" s="22">
        <v>0.1</v>
      </c>
      <c r="J406" s="12">
        <f t="shared" si="13"/>
        <v>207.68</v>
      </c>
      <c r="K406" s="17" t="s">
        <v>48</v>
      </c>
    </row>
    <row r="407" spans="1:11" x14ac:dyDescent="0.25">
      <c r="A407" s="17" t="s">
        <v>671</v>
      </c>
      <c r="B407" s="19">
        <v>46081</v>
      </c>
      <c r="C407" s="20">
        <f t="shared" si="12"/>
        <v>46054</v>
      </c>
      <c r="D407" s="17" t="s">
        <v>150</v>
      </c>
      <c r="E407" s="17" t="s">
        <v>26</v>
      </c>
      <c r="F407" s="17" t="s">
        <v>30</v>
      </c>
      <c r="G407" s="21">
        <v>2</v>
      </c>
      <c r="H407" s="12">
        <v>24.16</v>
      </c>
      <c r="I407" s="22">
        <v>0</v>
      </c>
      <c r="J407" s="12">
        <f t="shared" si="13"/>
        <v>48.32</v>
      </c>
      <c r="K407" s="17" t="s">
        <v>59</v>
      </c>
    </row>
    <row r="408" spans="1:11" x14ac:dyDescent="0.25">
      <c r="A408" s="17" t="s">
        <v>672</v>
      </c>
      <c r="B408" s="19">
        <v>46081</v>
      </c>
      <c r="C408" s="20">
        <f t="shared" si="12"/>
        <v>46054</v>
      </c>
      <c r="D408" s="17" t="s">
        <v>164</v>
      </c>
      <c r="E408" s="17" t="s">
        <v>19</v>
      </c>
      <c r="F408" s="17" t="s">
        <v>30</v>
      </c>
      <c r="G408" s="21">
        <v>1</v>
      </c>
      <c r="H408" s="12">
        <v>131.55000000000001</v>
      </c>
      <c r="I408" s="22">
        <v>0.1</v>
      </c>
      <c r="J408" s="12">
        <f t="shared" si="13"/>
        <v>118.4</v>
      </c>
      <c r="K408" s="17" t="s">
        <v>59</v>
      </c>
    </row>
    <row r="409" spans="1:11" x14ac:dyDescent="0.25">
      <c r="A409" s="17" t="s">
        <v>673</v>
      </c>
      <c r="B409" s="19">
        <v>46081</v>
      </c>
      <c r="C409" s="20">
        <f t="shared" si="12"/>
        <v>46054</v>
      </c>
      <c r="D409" s="17" t="s">
        <v>510</v>
      </c>
      <c r="E409" s="17" t="s">
        <v>17</v>
      </c>
      <c r="F409" s="17" t="s">
        <v>30</v>
      </c>
      <c r="G409" s="21">
        <v>2</v>
      </c>
      <c r="H409" s="12">
        <v>220.26</v>
      </c>
      <c r="I409" s="22">
        <v>0.05</v>
      </c>
      <c r="J409" s="12">
        <f t="shared" si="13"/>
        <v>418.49</v>
      </c>
      <c r="K409" s="17" t="s">
        <v>59</v>
      </c>
    </row>
    <row r="410" spans="1:11" x14ac:dyDescent="0.25">
      <c r="A410" s="17" t="s">
        <v>674</v>
      </c>
      <c r="B410" s="19">
        <v>46081</v>
      </c>
      <c r="C410" s="20">
        <f t="shared" si="12"/>
        <v>46054</v>
      </c>
      <c r="D410" s="17" t="s">
        <v>438</v>
      </c>
      <c r="E410" s="17" t="s">
        <v>18</v>
      </c>
      <c r="F410" s="17" t="s">
        <v>30</v>
      </c>
      <c r="G410" s="21">
        <v>1</v>
      </c>
      <c r="H410" s="12">
        <v>150.94999999999999</v>
      </c>
      <c r="I410" s="22">
        <v>0.05</v>
      </c>
      <c r="J410" s="12">
        <f t="shared" si="13"/>
        <v>143.4</v>
      </c>
      <c r="K410" s="17" t="s">
        <v>43</v>
      </c>
    </row>
    <row r="411" spans="1:11" x14ac:dyDescent="0.25">
      <c r="A411" s="17" t="s">
        <v>675</v>
      </c>
      <c r="B411" s="19">
        <v>46081</v>
      </c>
      <c r="C411" s="20">
        <f t="shared" si="12"/>
        <v>46054</v>
      </c>
      <c r="D411" s="17" t="s">
        <v>84</v>
      </c>
      <c r="E411" s="17" t="s">
        <v>21</v>
      </c>
      <c r="F411" s="17" t="s">
        <v>30</v>
      </c>
      <c r="G411" s="21">
        <v>2</v>
      </c>
      <c r="H411" s="12">
        <v>79.52</v>
      </c>
      <c r="I411" s="22">
        <v>0</v>
      </c>
      <c r="J411" s="12">
        <f t="shared" si="13"/>
        <v>159.04</v>
      </c>
      <c r="K411" s="17" t="s">
        <v>43</v>
      </c>
    </row>
    <row r="412" spans="1:11" x14ac:dyDescent="0.25">
      <c r="A412" s="17" t="s">
        <v>676</v>
      </c>
      <c r="B412" s="19">
        <v>46081</v>
      </c>
      <c r="C412" s="20">
        <f t="shared" si="12"/>
        <v>46054</v>
      </c>
      <c r="D412" s="17" t="s">
        <v>677</v>
      </c>
      <c r="E412" s="17" t="s">
        <v>27</v>
      </c>
      <c r="F412" s="17" t="s">
        <v>30</v>
      </c>
      <c r="G412" s="21">
        <v>3</v>
      </c>
      <c r="H412" s="12">
        <v>12.72</v>
      </c>
      <c r="I412" s="22">
        <v>0</v>
      </c>
      <c r="J412" s="12">
        <f t="shared" si="13"/>
        <v>38.159999999999997</v>
      </c>
      <c r="K412" s="17" t="s">
        <v>43</v>
      </c>
    </row>
    <row r="413" spans="1:11" x14ac:dyDescent="0.25">
      <c r="A413" s="17" t="s">
        <v>678</v>
      </c>
      <c r="B413" s="19">
        <v>46081</v>
      </c>
      <c r="C413" s="20">
        <f t="shared" si="12"/>
        <v>46054</v>
      </c>
      <c r="D413" s="17" t="s">
        <v>65</v>
      </c>
      <c r="E413" s="17" t="s">
        <v>25</v>
      </c>
      <c r="F413" s="17" t="s">
        <v>30</v>
      </c>
      <c r="G413" s="21">
        <v>1</v>
      </c>
      <c r="H413" s="12">
        <v>29.27</v>
      </c>
      <c r="I413" s="22">
        <v>0</v>
      </c>
      <c r="J413" s="12">
        <f t="shared" si="13"/>
        <v>29.27</v>
      </c>
      <c r="K413" s="17" t="s">
        <v>43</v>
      </c>
    </row>
    <row r="414" spans="1:11" x14ac:dyDescent="0.25">
      <c r="A414" s="17" t="s">
        <v>679</v>
      </c>
      <c r="B414" s="19">
        <v>46081</v>
      </c>
      <c r="C414" s="20">
        <f t="shared" si="12"/>
        <v>46054</v>
      </c>
      <c r="D414" s="17" t="s">
        <v>159</v>
      </c>
      <c r="E414" s="17" t="s">
        <v>23</v>
      </c>
      <c r="F414" s="17" t="s">
        <v>31</v>
      </c>
      <c r="G414" s="21">
        <v>3</v>
      </c>
      <c r="H414" s="12">
        <v>59.03</v>
      </c>
      <c r="I414" s="22">
        <v>0.1</v>
      </c>
      <c r="J414" s="12">
        <f t="shared" si="13"/>
        <v>159.38</v>
      </c>
      <c r="K414" s="17" t="s">
        <v>48</v>
      </c>
    </row>
    <row r="415" spans="1:11" x14ac:dyDescent="0.25">
      <c r="A415" s="17" t="s">
        <v>680</v>
      </c>
      <c r="B415" s="19">
        <v>46081</v>
      </c>
      <c r="C415" s="20">
        <f t="shared" si="12"/>
        <v>46054</v>
      </c>
      <c r="D415" s="17" t="s">
        <v>78</v>
      </c>
      <c r="E415" s="17" t="s">
        <v>24</v>
      </c>
      <c r="F415" s="17" t="s">
        <v>31</v>
      </c>
      <c r="G415" s="21">
        <v>2</v>
      </c>
      <c r="H415" s="12">
        <v>34.15</v>
      </c>
      <c r="I415" s="22">
        <v>0</v>
      </c>
      <c r="J415" s="12">
        <f t="shared" si="13"/>
        <v>68.3</v>
      </c>
      <c r="K415" s="17" t="s">
        <v>48</v>
      </c>
    </row>
    <row r="416" spans="1:11" x14ac:dyDescent="0.25">
      <c r="A416" s="17" t="s">
        <v>681</v>
      </c>
      <c r="B416" s="19">
        <v>46082</v>
      </c>
      <c r="C416" s="20">
        <f t="shared" si="12"/>
        <v>46082</v>
      </c>
      <c r="D416" s="17" t="s">
        <v>168</v>
      </c>
      <c r="E416" s="17" t="s">
        <v>20</v>
      </c>
      <c r="F416" s="17" t="s">
        <v>30</v>
      </c>
      <c r="G416" s="21">
        <v>5</v>
      </c>
      <c r="H416" s="12">
        <v>90.77</v>
      </c>
      <c r="I416" s="22">
        <v>0</v>
      </c>
      <c r="J416" s="12">
        <f t="shared" si="13"/>
        <v>453.85</v>
      </c>
      <c r="K416" s="17" t="s">
        <v>59</v>
      </c>
    </row>
    <row r="417" spans="1:11" x14ac:dyDescent="0.25">
      <c r="A417" s="17" t="s">
        <v>682</v>
      </c>
      <c r="B417" s="19">
        <v>46082</v>
      </c>
      <c r="C417" s="20">
        <f t="shared" si="12"/>
        <v>46082</v>
      </c>
      <c r="D417" s="17" t="s">
        <v>181</v>
      </c>
      <c r="E417" s="17" t="s">
        <v>19</v>
      </c>
      <c r="F417" s="17" t="s">
        <v>30</v>
      </c>
      <c r="G417" s="21">
        <v>1</v>
      </c>
      <c r="H417" s="12">
        <v>125.92</v>
      </c>
      <c r="I417" s="22">
        <v>0.05</v>
      </c>
      <c r="J417" s="12">
        <f t="shared" si="13"/>
        <v>119.62</v>
      </c>
      <c r="K417" s="17" t="s">
        <v>59</v>
      </c>
    </row>
    <row r="418" spans="1:11" x14ac:dyDescent="0.25">
      <c r="A418" s="17" t="s">
        <v>683</v>
      </c>
      <c r="B418" s="19">
        <v>46082</v>
      </c>
      <c r="C418" s="20">
        <f t="shared" si="12"/>
        <v>46082</v>
      </c>
      <c r="D418" s="17" t="s">
        <v>684</v>
      </c>
      <c r="E418" s="17" t="s">
        <v>24</v>
      </c>
      <c r="F418" s="17" t="s">
        <v>30</v>
      </c>
      <c r="G418" s="21">
        <v>3</v>
      </c>
      <c r="H418" s="12">
        <v>35.81</v>
      </c>
      <c r="I418" s="22">
        <v>0.15</v>
      </c>
      <c r="J418" s="12">
        <f t="shared" si="13"/>
        <v>91.32</v>
      </c>
      <c r="K418" s="17" t="s">
        <v>59</v>
      </c>
    </row>
    <row r="419" spans="1:11" x14ac:dyDescent="0.25">
      <c r="A419" s="17" t="s">
        <v>685</v>
      </c>
      <c r="B419" s="19">
        <v>46082</v>
      </c>
      <c r="C419" s="20">
        <f t="shared" si="12"/>
        <v>46082</v>
      </c>
      <c r="D419" s="17" t="s">
        <v>562</v>
      </c>
      <c r="E419" s="17" t="s">
        <v>17</v>
      </c>
      <c r="F419" s="17" t="s">
        <v>30</v>
      </c>
      <c r="G419" s="21">
        <v>1</v>
      </c>
      <c r="H419" s="12">
        <v>218.27</v>
      </c>
      <c r="I419" s="22">
        <v>0.15</v>
      </c>
      <c r="J419" s="12">
        <f t="shared" si="13"/>
        <v>185.53</v>
      </c>
      <c r="K419" s="17" t="s">
        <v>43</v>
      </c>
    </row>
    <row r="420" spans="1:11" x14ac:dyDescent="0.25">
      <c r="A420" s="17" t="s">
        <v>686</v>
      </c>
      <c r="B420" s="19">
        <v>46082</v>
      </c>
      <c r="C420" s="20">
        <f t="shared" si="12"/>
        <v>46082</v>
      </c>
      <c r="D420" s="17" t="s">
        <v>71</v>
      </c>
      <c r="E420" s="17" t="s">
        <v>24</v>
      </c>
      <c r="F420" s="17" t="s">
        <v>30</v>
      </c>
      <c r="G420" s="21">
        <v>5</v>
      </c>
      <c r="H420" s="12">
        <v>34.96</v>
      </c>
      <c r="I420" s="22">
        <v>0</v>
      </c>
      <c r="J420" s="12">
        <f t="shared" si="13"/>
        <v>174.8</v>
      </c>
      <c r="K420" s="17" t="s">
        <v>43</v>
      </c>
    </row>
    <row r="421" spans="1:11" x14ac:dyDescent="0.25">
      <c r="A421" s="17" t="s">
        <v>687</v>
      </c>
      <c r="B421" s="19">
        <v>46082</v>
      </c>
      <c r="C421" s="20">
        <f t="shared" si="12"/>
        <v>46082</v>
      </c>
      <c r="D421" s="17" t="s">
        <v>82</v>
      </c>
      <c r="E421" s="17" t="s">
        <v>18</v>
      </c>
      <c r="F421" s="17" t="s">
        <v>31</v>
      </c>
      <c r="G421" s="21">
        <v>2</v>
      </c>
      <c r="H421" s="12">
        <v>152.78</v>
      </c>
      <c r="I421" s="22">
        <v>0</v>
      </c>
      <c r="J421" s="12">
        <f t="shared" si="13"/>
        <v>305.56</v>
      </c>
      <c r="K421" s="17" t="s">
        <v>48</v>
      </c>
    </row>
    <row r="422" spans="1:11" x14ac:dyDescent="0.25">
      <c r="A422" s="17" t="s">
        <v>688</v>
      </c>
      <c r="B422" s="19">
        <v>46083</v>
      </c>
      <c r="C422" s="20">
        <f t="shared" si="12"/>
        <v>46082</v>
      </c>
      <c r="D422" s="17" t="s">
        <v>485</v>
      </c>
      <c r="E422" s="17" t="s">
        <v>23</v>
      </c>
      <c r="F422" s="17" t="s">
        <v>30</v>
      </c>
      <c r="G422" s="21">
        <v>1</v>
      </c>
      <c r="H422" s="12">
        <v>60.56</v>
      </c>
      <c r="I422" s="22">
        <v>0</v>
      </c>
      <c r="J422" s="12">
        <f t="shared" si="13"/>
        <v>60.56</v>
      </c>
      <c r="K422" s="17" t="s">
        <v>59</v>
      </c>
    </row>
    <row r="423" spans="1:11" x14ac:dyDescent="0.25">
      <c r="A423" s="17" t="s">
        <v>689</v>
      </c>
      <c r="B423" s="19">
        <v>46083</v>
      </c>
      <c r="C423" s="20">
        <f t="shared" si="12"/>
        <v>46082</v>
      </c>
      <c r="D423" s="17" t="s">
        <v>380</v>
      </c>
      <c r="E423" s="17" t="s">
        <v>23</v>
      </c>
      <c r="F423" s="17" t="s">
        <v>30</v>
      </c>
      <c r="G423" s="21">
        <v>2</v>
      </c>
      <c r="H423" s="12">
        <v>59.58</v>
      </c>
      <c r="I423" s="22">
        <v>0</v>
      </c>
      <c r="J423" s="12">
        <f t="shared" si="13"/>
        <v>119.16</v>
      </c>
      <c r="K423" s="17" t="s">
        <v>59</v>
      </c>
    </row>
    <row r="424" spans="1:11" x14ac:dyDescent="0.25">
      <c r="A424" s="17" t="s">
        <v>690</v>
      </c>
      <c r="B424" s="19">
        <v>46083</v>
      </c>
      <c r="C424" s="20">
        <f t="shared" si="12"/>
        <v>46082</v>
      </c>
      <c r="D424" s="17" t="s">
        <v>485</v>
      </c>
      <c r="E424" s="17" t="s">
        <v>22</v>
      </c>
      <c r="F424" s="17" t="s">
        <v>30</v>
      </c>
      <c r="G424" s="21">
        <v>4</v>
      </c>
      <c r="H424" s="12">
        <v>97.54</v>
      </c>
      <c r="I424" s="22">
        <v>0.1</v>
      </c>
      <c r="J424" s="12">
        <f t="shared" si="13"/>
        <v>351.14</v>
      </c>
      <c r="K424" s="17" t="s">
        <v>43</v>
      </c>
    </row>
    <row r="425" spans="1:11" x14ac:dyDescent="0.25">
      <c r="A425" s="17" t="s">
        <v>691</v>
      </c>
      <c r="B425" s="19">
        <v>46083</v>
      </c>
      <c r="C425" s="20">
        <f t="shared" si="12"/>
        <v>46082</v>
      </c>
      <c r="D425" s="17" t="s">
        <v>102</v>
      </c>
      <c r="E425" s="17" t="s">
        <v>24</v>
      </c>
      <c r="F425" s="17" t="s">
        <v>30</v>
      </c>
      <c r="G425" s="21">
        <v>1</v>
      </c>
      <c r="H425" s="12">
        <v>35.270000000000003</v>
      </c>
      <c r="I425" s="22">
        <v>0.05</v>
      </c>
      <c r="J425" s="12">
        <f t="shared" si="13"/>
        <v>33.51</v>
      </c>
      <c r="K425" s="17" t="s">
        <v>43</v>
      </c>
    </row>
    <row r="426" spans="1:11" x14ac:dyDescent="0.25">
      <c r="A426" s="17" t="s">
        <v>692</v>
      </c>
      <c r="B426" s="19">
        <v>46083</v>
      </c>
      <c r="C426" s="20">
        <f t="shared" si="12"/>
        <v>46082</v>
      </c>
      <c r="D426" s="17" t="s">
        <v>116</v>
      </c>
      <c r="E426" s="17" t="s">
        <v>16</v>
      </c>
      <c r="F426" s="17" t="s">
        <v>31</v>
      </c>
      <c r="G426" s="21">
        <v>1</v>
      </c>
      <c r="H426" s="12">
        <v>255.78</v>
      </c>
      <c r="I426" s="22">
        <v>0.1</v>
      </c>
      <c r="J426" s="12">
        <f t="shared" si="13"/>
        <v>230.2</v>
      </c>
      <c r="K426" s="17" t="s">
        <v>48</v>
      </c>
    </row>
    <row r="427" spans="1:11" x14ac:dyDescent="0.25">
      <c r="A427" s="17" t="s">
        <v>693</v>
      </c>
      <c r="B427" s="19">
        <v>46083</v>
      </c>
      <c r="C427" s="20">
        <f t="shared" si="12"/>
        <v>46082</v>
      </c>
      <c r="D427" s="17" t="s">
        <v>694</v>
      </c>
      <c r="E427" s="17" t="s">
        <v>17</v>
      </c>
      <c r="F427" s="17" t="s">
        <v>31</v>
      </c>
      <c r="G427" s="21">
        <v>1</v>
      </c>
      <c r="H427" s="12">
        <v>221.01</v>
      </c>
      <c r="I427" s="22">
        <v>0.05</v>
      </c>
      <c r="J427" s="12">
        <f t="shared" si="13"/>
        <v>209.96</v>
      </c>
      <c r="K427" s="17" t="s">
        <v>48</v>
      </c>
    </row>
    <row r="428" spans="1:11" x14ac:dyDescent="0.25">
      <c r="A428" s="17" t="s">
        <v>695</v>
      </c>
      <c r="B428" s="19">
        <v>46084</v>
      </c>
      <c r="C428" s="20">
        <f t="shared" si="12"/>
        <v>46082</v>
      </c>
      <c r="D428" s="17" t="s">
        <v>469</v>
      </c>
      <c r="E428" s="17" t="s">
        <v>19</v>
      </c>
      <c r="F428" s="17" t="s">
        <v>30</v>
      </c>
      <c r="G428" s="21">
        <v>2</v>
      </c>
      <c r="H428" s="12">
        <v>125.52</v>
      </c>
      <c r="I428" s="22">
        <v>0</v>
      </c>
      <c r="J428" s="12">
        <f t="shared" si="13"/>
        <v>251.04</v>
      </c>
      <c r="K428" s="17" t="s">
        <v>59</v>
      </c>
    </row>
    <row r="429" spans="1:11" x14ac:dyDescent="0.25">
      <c r="A429" s="17" t="s">
        <v>696</v>
      </c>
      <c r="B429" s="19">
        <v>46084</v>
      </c>
      <c r="C429" s="20">
        <f t="shared" si="12"/>
        <v>46082</v>
      </c>
      <c r="D429" s="17" t="s">
        <v>47</v>
      </c>
      <c r="E429" s="17" t="s">
        <v>22</v>
      </c>
      <c r="F429" s="17" t="s">
        <v>30</v>
      </c>
      <c r="G429" s="21">
        <v>5</v>
      </c>
      <c r="H429" s="12">
        <v>98.83</v>
      </c>
      <c r="I429" s="22">
        <v>0.1</v>
      </c>
      <c r="J429" s="12">
        <f t="shared" si="13"/>
        <v>444.74</v>
      </c>
      <c r="K429" s="17" t="s">
        <v>59</v>
      </c>
    </row>
    <row r="430" spans="1:11" x14ac:dyDescent="0.25">
      <c r="A430" s="17" t="s">
        <v>697</v>
      </c>
      <c r="B430" s="19">
        <v>46084</v>
      </c>
      <c r="C430" s="20">
        <f t="shared" si="12"/>
        <v>46082</v>
      </c>
      <c r="D430" s="17" t="s">
        <v>395</v>
      </c>
      <c r="E430" s="17" t="s">
        <v>18</v>
      </c>
      <c r="F430" s="17" t="s">
        <v>30</v>
      </c>
      <c r="G430" s="21">
        <v>3</v>
      </c>
      <c r="H430" s="12">
        <v>151.82</v>
      </c>
      <c r="I430" s="22">
        <v>0.1</v>
      </c>
      <c r="J430" s="12">
        <f t="shared" si="13"/>
        <v>409.91</v>
      </c>
      <c r="K430" s="17" t="s">
        <v>59</v>
      </c>
    </row>
    <row r="431" spans="1:11" x14ac:dyDescent="0.25">
      <c r="A431" s="17" t="s">
        <v>698</v>
      </c>
      <c r="B431" s="19">
        <v>46084</v>
      </c>
      <c r="C431" s="20">
        <f t="shared" si="12"/>
        <v>46082</v>
      </c>
      <c r="D431" s="17" t="s">
        <v>699</v>
      </c>
      <c r="E431" s="17" t="s">
        <v>20</v>
      </c>
      <c r="F431" s="17" t="s">
        <v>30</v>
      </c>
      <c r="G431" s="21">
        <v>2</v>
      </c>
      <c r="H431" s="12">
        <v>87.77</v>
      </c>
      <c r="I431" s="22">
        <v>0</v>
      </c>
      <c r="J431" s="12">
        <f t="shared" si="13"/>
        <v>175.54</v>
      </c>
      <c r="K431" s="17" t="s">
        <v>59</v>
      </c>
    </row>
    <row r="432" spans="1:11" x14ac:dyDescent="0.25">
      <c r="A432" s="17" t="s">
        <v>700</v>
      </c>
      <c r="B432" s="19">
        <v>46084</v>
      </c>
      <c r="C432" s="20">
        <f t="shared" si="12"/>
        <v>46082</v>
      </c>
      <c r="D432" s="17" t="s">
        <v>436</v>
      </c>
      <c r="E432" s="17" t="s">
        <v>16</v>
      </c>
      <c r="F432" s="17" t="s">
        <v>30</v>
      </c>
      <c r="G432" s="21">
        <v>2</v>
      </c>
      <c r="H432" s="12">
        <v>248.8</v>
      </c>
      <c r="I432" s="22">
        <v>0</v>
      </c>
      <c r="J432" s="12">
        <f t="shared" si="13"/>
        <v>497.6</v>
      </c>
      <c r="K432" s="17" t="s">
        <v>43</v>
      </c>
    </row>
    <row r="433" spans="1:11" x14ac:dyDescent="0.25">
      <c r="A433" s="17" t="s">
        <v>701</v>
      </c>
      <c r="B433" s="19">
        <v>46084</v>
      </c>
      <c r="C433" s="20">
        <f t="shared" si="12"/>
        <v>46082</v>
      </c>
      <c r="D433" s="17" t="s">
        <v>78</v>
      </c>
      <c r="E433" s="17" t="s">
        <v>27</v>
      </c>
      <c r="F433" s="17" t="s">
        <v>30</v>
      </c>
      <c r="G433" s="21">
        <v>1</v>
      </c>
      <c r="H433" s="12">
        <v>12.85</v>
      </c>
      <c r="I433" s="22">
        <v>0.15</v>
      </c>
      <c r="J433" s="12">
        <f t="shared" si="13"/>
        <v>10.92</v>
      </c>
      <c r="K433" s="17" t="s">
        <v>43</v>
      </c>
    </row>
    <row r="434" spans="1:11" x14ac:dyDescent="0.25">
      <c r="A434" s="17" t="s">
        <v>702</v>
      </c>
      <c r="B434" s="19">
        <v>46084</v>
      </c>
      <c r="C434" s="20">
        <f t="shared" si="12"/>
        <v>46082</v>
      </c>
      <c r="D434" s="17" t="s">
        <v>703</v>
      </c>
      <c r="E434" s="17" t="s">
        <v>18</v>
      </c>
      <c r="F434" s="17" t="s">
        <v>30</v>
      </c>
      <c r="G434" s="21">
        <v>1</v>
      </c>
      <c r="H434" s="12">
        <v>149.84</v>
      </c>
      <c r="I434" s="22">
        <v>0.15</v>
      </c>
      <c r="J434" s="12">
        <f t="shared" si="13"/>
        <v>127.36</v>
      </c>
      <c r="K434" s="17" t="s">
        <v>43</v>
      </c>
    </row>
    <row r="435" spans="1:11" x14ac:dyDescent="0.25">
      <c r="A435" s="17" t="s">
        <v>704</v>
      </c>
      <c r="B435" s="19">
        <v>46084</v>
      </c>
      <c r="C435" s="20">
        <f t="shared" si="12"/>
        <v>46082</v>
      </c>
      <c r="D435" s="17" t="s">
        <v>354</v>
      </c>
      <c r="E435" s="17" t="s">
        <v>18</v>
      </c>
      <c r="F435" s="17" t="s">
        <v>30</v>
      </c>
      <c r="G435" s="21">
        <v>2</v>
      </c>
      <c r="H435" s="12">
        <v>147.01</v>
      </c>
      <c r="I435" s="22">
        <v>0.1</v>
      </c>
      <c r="J435" s="12">
        <f t="shared" si="13"/>
        <v>264.62</v>
      </c>
      <c r="K435" s="17" t="s">
        <v>43</v>
      </c>
    </row>
    <row r="436" spans="1:11" x14ac:dyDescent="0.25">
      <c r="A436" s="17" t="s">
        <v>705</v>
      </c>
      <c r="B436" s="19">
        <v>46084</v>
      </c>
      <c r="C436" s="20">
        <f t="shared" si="12"/>
        <v>46082</v>
      </c>
      <c r="D436" s="17" t="s">
        <v>629</v>
      </c>
      <c r="E436" s="17" t="s">
        <v>16</v>
      </c>
      <c r="F436" s="17" t="s">
        <v>31</v>
      </c>
      <c r="G436" s="21">
        <v>3</v>
      </c>
      <c r="H436" s="12">
        <v>243.34</v>
      </c>
      <c r="I436" s="22">
        <v>0.1</v>
      </c>
      <c r="J436" s="12">
        <f t="shared" si="13"/>
        <v>657.02</v>
      </c>
      <c r="K436" s="17" t="s">
        <v>48</v>
      </c>
    </row>
    <row r="437" spans="1:11" x14ac:dyDescent="0.25">
      <c r="A437" s="17" t="s">
        <v>706</v>
      </c>
      <c r="B437" s="19">
        <v>46084</v>
      </c>
      <c r="C437" s="20">
        <f t="shared" si="12"/>
        <v>46082</v>
      </c>
      <c r="D437" s="17" t="s">
        <v>283</v>
      </c>
      <c r="E437" s="17" t="s">
        <v>18</v>
      </c>
      <c r="F437" s="17" t="s">
        <v>31</v>
      </c>
      <c r="G437" s="21">
        <v>3</v>
      </c>
      <c r="H437" s="12">
        <v>149.15</v>
      </c>
      <c r="I437" s="22">
        <v>0</v>
      </c>
      <c r="J437" s="12">
        <f t="shared" si="13"/>
        <v>447.45</v>
      </c>
      <c r="K437" s="17" t="s">
        <v>48</v>
      </c>
    </row>
    <row r="438" spans="1:11" x14ac:dyDescent="0.25">
      <c r="A438" s="17" t="s">
        <v>707</v>
      </c>
      <c r="B438" s="19">
        <v>46084</v>
      </c>
      <c r="C438" s="20">
        <f t="shared" si="12"/>
        <v>46082</v>
      </c>
      <c r="D438" s="17" t="s">
        <v>204</v>
      </c>
      <c r="E438" s="17" t="s">
        <v>17</v>
      </c>
      <c r="F438" s="17" t="s">
        <v>31</v>
      </c>
      <c r="G438" s="21">
        <v>2</v>
      </c>
      <c r="H438" s="12">
        <v>216.91</v>
      </c>
      <c r="I438" s="22">
        <v>0.05</v>
      </c>
      <c r="J438" s="12">
        <f t="shared" si="13"/>
        <v>412.13</v>
      </c>
      <c r="K438" s="17" t="s">
        <v>48</v>
      </c>
    </row>
    <row r="439" spans="1:11" x14ac:dyDescent="0.25">
      <c r="A439" s="17" t="s">
        <v>708</v>
      </c>
      <c r="B439" s="19">
        <v>46084</v>
      </c>
      <c r="C439" s="20">
        <f t="shared" si="12"/>
        <v>46082</v>
      </c>
      <c r="D439" s="17" t="s">
        <v>709</v>
      </c>
      <c r="E439" s="17" t="s">
        <v>17</v>
      </c>
      <c r="F439" s="17" t="s">
        <v>31</v>
      </c>
      <c r="G439" s="21">
        <v>4</v>
      </c>
      <c r="H439" s="12">
        <v>213.44</v>
      </c>
      <c r="I439" s="22">
        <v>0</v>
      </c>
      <c r="J439" s="12">
        <f t="shared" si="13"/>
        <v>853.76</v>
      </c>
      <c r="K439" s="17" t="s">
        <v>48</v>
      </c>
    </row>
    <row r="440" spans="1:11" x14ac:dyDescent="0.25">
      <c r="A440" s="17" t="s">
        <v>710</v>
      </c>
      <c r="B440" s="19">
        <v>46085</v>
      </c>
      <c r="C440" s="20">
        <f t="shared" si="12"/>
        <v>46082</v>
      </c>
      <c r="D440" s="17" t="s">
        <v>253</v>
      </c>
      <c r="E440" s="17" t="s">
        <v>16</v>
      </c>
      <c r="F440" s="17" t="s">
        <v>30</v>
      </c>
      <c r="G440" s="21">
        <v>5</v>
      </c>
      <c r="H440" s="12">
        <v>254.6</v>
      </c>
      <c r="I440" s="22">
        <v>0.15</v>
      </c>
      <c r="J440" s="12">
        <f t="shared" si="13"/>
        <v>1082.05</v>
      </c>
      <c r="K440" s="17" t="s">
        <v>59</v>
      </c>
    </row>
    <row r="441" spans="1:11" x14ac:dyDescent="0.25">
      <c r="A441" s="17" t="s">
        <v>711</v>
      </c>
      <c r="B441" s="19">
        <v>46085</v>
      </c>
      <c r="C441" s="20">
        <f t="shared" si="12"/>
        <v>46082</v>
      </c>
      <c r="D441" s="17" t="s">
        <v>568</v>
      </c>
      <c r="E441" s="17" t="s">
        <v>18</v>
      </c>
      <c r="F441" s="17" t="s">
        <v>30</v>
      </c>
      <c r="G441" s="21">
        <v>2</v>
      </c>
      <c r="H441" s="12">
        <v>152.12</v>
      </c>
      <c r="I441" s="22">
        <v>0.05</v>
      </c>
      <c r="J441" s="12">
        <f t="shared" si="13"/>
        <v>289.02999999999997</v>
      </c>
      <c r="K441" s="17" t="s">
        <v>59</v>
      </c>
    </row>
    <row r="442" spans="1:11" x14ac:dyDescent="0.25">
      <c r="A442" s="17" t="s">
        <v>712</v>
      </c>
      <c r="B442" s="19">
        <v>46085</v>
      </c>
      <c r="C442" s="20">
        <f t="shared" si="12"/>
        <v>46082</v>
      </c>
      <c r="D442" s="17" t="s">
        <v>139</v>
      </c>
      <c r="E442" s="17" t="s">
        <v>23</v>
      </c>
      <c r="F442" s="17" t="s">
        <v>30</v>
      </c>
      <c r="G442" s="21">
        <v>5</v>
      </c>
      <c r="H442" s="12">
        <v>58.95</v>
      </c>
      <c r="I442" s="22">
        <v>0.1</v>
      </c>
      <c r="J442" s="12">
        <f t="shared" si="13"/>
        <v>265.27999999999997</v>
      </c>
      <c r="K442" s="17" t="s">
        <v>59</v>
      </c>
    </row>
    <row r="443" spans="1:11" x14ac:dyDescent="0.25">
      <c r="A443" s="17" t="s">
        <v>713</v>
      </c>
      <c r="B443" s="19">
        <v>46085</v>
      </c>
      <c r="C443" s="20">
        <f t="shared" si="12"/>
        <v>46082</v>
      </c>
      <c r="D443" s="17" t="s">
        <v>63</v>
      </c>
      <c r="E443" s="17" t="s">
        <v>22</v>
      </c>
      <c r="F443" s="17" t="s">
        <v>30</v>
      </c>
      <c r="G443" s="21">
        <v>3</v>
      </c>
      <c r="H443" s="12">
        <v>100.72</v>
      </c>
      <c r="I443" s="22">
        <v>0.05</v>
      </c>
      <c r="J443" s="12">
        <f t="shared" si="13"/>
        <v>287.05</v>
      </c>
      <c r="K443" s="17" t="s">
        <v>43</v>
      </c>
    </row>
    <row r="444" spans="1:11" x14ac:dyDescent="0.25">
      <c r="A444" s="17" t="s">
        <v>714</v>
      </c>
      <c r="B444" s="19">
        <v>46085</v>
      </c>
      <c r="C444" s="20">
        <f t="shared" si="12"/>
        <v>46082</v>
      </c>
      <c r="D444" s="17" t="s">
        <v>473</v>
      </c>
      <c r="E444" s="17" t="s">
        <v>23</v>
      </c>
      <c r="F444" s="17" t="s">
        <v>30</v>
      </c>
      <c r="G444" s="21">
        <v>5</v>
      </c>
      <c r="H444" s="12">
        <v>58.21</v>
      </c>
      <c r="I444" s="22">
        <v>0</v>
      </c>
      <c r="J444" s="12">
        <f t="shared" si="13"/>
        <v>291.05</v>
      </c>
      <c r="K444" s="17" t="s">
        <v>43</v>
      </c>
    </row>
    <row r="445" spans="1:11" x14ac:dyDescent="0.25">
      <c r="A445" s="17" t="s">
        <v>715</v>
      </c>
      <c r="B445" s="19">
        <v>46085</v>
      </c>
      <c r="C445" s="20">
        <f t="shared" si="12"/>
        <v>46082</v>
      </c>
      <c r="D445" s="17" t="s">
        <v>255</v>
      </c>
      <c r="E445" s="17" t="s">
        <v>24</v>
      </c>
      <c r="F445" s="17" t="s">
        <v>31</v>
      </c>
      <c r="G445" s="21">
        <v>1</v>
      </c>
      <c r="H445" s="12">
        <v>34.380000000000003</v>
      </c>
      <c r="I445" s="22">
        <v>0</v>
      </c>
      <c r="J445" s="12">
        <f t="shared" si="13"/>
        <v>34.380000000000003</v>
      </c>
      <c r="K445" s="17" t="s">
        <v>48</v>
      </c>
    </row>
    <row r="446" spans="1:11" x14ac:dyDescent="0.25">
      <c r="A446" s="17" t="s">
        <v>716</v>
      </c>
      <c r="B446" s="19">
        <v>46085</v>
      </c>
      <c r="C446" s="20">
        <f t="shared" si="12"/>
        <v>46082</v>
      </c>
      <c r="D446" s="17" t="s">
        <v>219</v>
      </c>
      <c r="E446" s="17" t="s">
        <v>27</v>
      </c>
      <c r="F446" s="17" t="s">
        <v>31</v>
      </c>
      <c r="G446" s="21">
        <v>2</v>
      </c>
      <c r="H446" s="12">
        <v>12.79</v>
      </c>
      <c r="I446" s="22">
        <v>0.05</v>
      </c>
      <c r="J446" s="12">
        <f t="shared" si="13"/>
        <v>24.3</v>
      </c>
      <c r="K446" s="17" t="s">
        <v>48</v>
      </c>
    </row>
    <row r="447" spans="1:11" x14ac:dyDescent="0.25">
      <c r="A447" s="17" t="s">
        <v>717</v>
      </c>
      <c r="B447" s="19">
        <v>46085</v>
      </c>
      <c r="C447" s="20">
        <f t="shared" si="12"/>
        <v>46082</v>
      </c>
      <c r="D447" s="17" t="s">
        <v>76</v>
      </c>
      <c r="E447" s="17" t="s">
        <v>17</v>
      </c>
      <c r="F447" s="17" t="s">
        <v>31</v>
      </c>
      <c r="G447" s="21">
        <v>2</v>
      </c>
      <c r="H447" s="12">
        <v>214.15</v>
      </c>
      <c r="I447" s="22">
        <v>0.05</v>
      </c>
      <c r="J447" s="12">
        <f t="shared" si="13"/>
        <v>406.89</v>
      </c>
      <c r="K447" s="17" t="s">
        <v>48</v>
      </c>
    </row>
    <row r="448" spans="1:11" x14ac:dyDescent="0.25">
      <c r="A448" s="17" t="s">
        <v>718</v>
      </c>
      <c r="B448" s="19">
        <v>46086</v>
      </c>
      <c r="C448" s="20">
        <f t="shared" si="12"/>
        <v>46082</v>
      </c>
      <c r="D448" s="17" t="s">
        <v>719</v>
      </c>
      <c r="E448" s="17" t="s">
        <v>20</v>
      </c>
      <c r="F448" s="17" t="s">
        <v>30</v>
      </c>
      <c r="G448" s="21">
        <v>5</v>
      </c>
      <c r="H448" s="12">
        <v>86.76</v>
      </c>
      <c r="I448" s="22">
        <v>0.05</v>
      </c>
      <c r="J448" s="12">
        <f t="shared" si="13"/>
        <v>412.11</v>
      </c>
      <c r="K448" s="17" t="s">
        <v>59</v>
      </c>
    </row>
    <row r="449" spans="1:11" x14ac:dyDescent="0.25">
      <c r="A449" s="17" t="s">
        <v>720</v>
      </c>
      <c r="B449" s="19">
        <v>46086</v>
      </c>
      <c r="C449" s="20">
        <f t="shared" si="12"/>
        <v>46082</v>
      </c>
      <c r="D449" s="17" t="s">
        <v>703</v>
      </c>
      <c r="E449" s="17" t="s">
        <v>17</v>
      </c>
      <c r="F449" s="17" t="s">
        <v>30</v>
      </c>
      <c r="G449" s="21">
        <v>1</v>
      </c>
      <c r="H449" s="12">
        <v>215.9</v>
      </c>
      <c r="I449" s="22">
        <v>0</v>
      </c>
      <c r="J449" s="12">
        <f t="shared" si="13"/>
        <v>215.9</v>
      </c>
      <c r="K449" s="17" t="s">
        <v>59</v>
      </c>
    </row>
    <row r="450" spans="1:11" x14ac:dyDescent="0.25">
      <c r="A450" s="17" t="s">
        <v>721</v>
      </c>
      <c r="B450" s="19">
        <v>46086</v>
      </c>
      <c r="C450" s="20">
        <f t="shared" ref="C450:C513" si="14">DATE(YEAR(B450),MONTH(B450),1)</f>
        <v>46082</v>
      </c>
      <c r="D450" s="17" t="s">
        <v>78</v>
      </c>
      <c r="E450" s="17" t="s">
        <v>21</v>
      </c>
      <c r="F450" s="17" t="s">
        <v>30</v>
      </c>
      <c r="G450" s="21">
        <v>2</v>
      </c>
      <c r="H450" s="12">
        <v>77.36</v>
      </c>
      <c r="I450" s="22">
        <v>0.1</v>
      </c>
      <c r="J450" s="12">
        <f t="shared" ref="J450:J513" si="15">ROUND(G450*H450*(1-I450),2)</f>
        <v>139.25</v>
      </c>
      <c r="K450" s="17" t="s">
        <v>59</v>
      </c>
    </row>
    <row r="451" spans="1:11" x14ac:dyDescent="0.25">
      <c r="A451" s="17" t="s">
        <v>722</v>
      </c>
      <c r="B451" s="19">
        <v>46086</v>
      </c>
      <c r="C451" s="20">
        <f t="shared" si="14"/>
        <v>46082</v>
      </c>
      <c r="D451" s="17" t="s">
        <v>285</v>
      </c>
      <c r="E451" s="17" t="s">
        <v>24</v>
      </c>
      <c r="F451" s="17" t="s">
        <v>30</v>
      </c>
      <c r="G451" s="21">
        <v>1</v>
      </c>
      <c r="H451" s="12">
        <v>34.28</v>
      </c>
      <c r="I451" s="22">
        <v>0</v>
      </c>
      <c r="J451" s="12">
        <f t="shared" si="15"/>
        <v>34.28</v>
      </c>
      <c r="K451" s="17" t="s">
        <v>59</v>
      </c>
    </row>
    <row r="452" spans="1:11" x14ac:dyDescent="0.25">
      <c r="A452" s="17" t="s">
        <v>723</v>
      </c>
      <c r="B452" s="19">
        <v>46086</v>
      </c>
      <c r="C452" s="20">
        <f t="shared" si="14"/>
        <v>46082</v>
      </c>
      <c r="D452" s="17" t="s">
        <v>322</v>
      </c>
      <c r="E452" s="17" t="s">
        <v>21</v>
      </c>
      <c r="F452" s="17" t="s">
        <v>30</v>
      </c>
      <c r="G452" s="21">
        <v>1</v>
      </c>
      <c r="H452" s="12">
        <v>77.489999999999995</v>
      </c>
      <c r="I452" s="22">
        <v>0</v>
      </c>
      <c r="J452" s="12">
        <f t="shared" si="15"/>
        <v>77.489999999999995</v>
      </c>
      <c r="K452" s="17" t="s">
        <v>59</v>
      </c>
    </row>
    <row r="453" spans="1:11" x14ac:dyDescent="0.25">
      <c r="A453" s="17" t="s">
        <v>724</v>
      </c>
      <c r="B453" s="19">
        <v>46086</v>
      </c>
      <c r="C453" s="20">
        <f t="shared" si="14"/>
        <v>46082</v>
      </c>
      <c r="D453" s="17" t="s">
        <v>166</v>
      </c>
      <c r="E453" s="17" t="s">
        <v>18</v>
      </c>
      <c r="F453" s="17" t="s">
        <v>30</v>
      </c>
      <c r="G453" s="21">
        <v>2</v>
      </c>
      <c r="H453" s="12">
        <v>145.86000000000001</v>
      </c>
      <c r="I453" s="22">
        <v>0.05</v>
      </c>
      <c r="J453" s="12">
        <f t="shared" si="15"/>
        <v>277.13</v>
      </c>
      <c r="K453" s="17" t="s">
        <v>43</v>
      </c>
    </row>
    <row r="454" spans="1:11" x14ac:dyDescent="0.25">
      <c r="A454" s="17" t="s">
        <v>725</v>
      </c>
      <c r="B454" s="19">
        <v>46086</v>
      </c>
      <c r="C454" s="20">
        <f t="shared" si="14"/>
        <v>46082</v>
      </c>
      <c r="D454" s="17" t="s">
        <v>185</v>
      </c>
      <c r="E454" s="17" t="s">
        <v>25</v>
      </c>
      <c r="F454" s="17" t="s">
        <v>30</v>
      </c>
      <c r="G454" s="21">
        <v>1</v>
      </c>
      <c r="H454" s="12">
        <v>30.05</v>
      </c>
      <c r="I454" s="22">
        <v>0</v>
      </c>
      <c r="J454" s="12">
        <f t="shared" si="15"/>
        <v>30.05</v>
      </c>
      <c r="K454" s="17" t="s">
        <v>43</v>
      </c>
    </row>
    <row r="455" spans="1:11" x14ac:dyDescent="0.25">
      <c r="A455" s="17" t="s">
        <v>726</v>
      </c>
      <c r="B455" s="19">
        <v>46086</v>
      </c>
      <c r="C455" s="20">
        <f t="shared" si="14"/>
        <v>46082</v>
      </c>
      <c r="D455" s="17" t="s">
        <v>626</v>
      </c>
      <c r="E455" s="17" t="s">
        <v>20</v>
      </c>
      <c r="F455" s="17" t="s">
        <v>30</v>
      </c>
      <c r="G455" s="21">
        <v>1</v>
      </c>
      <c r="H455" s="12">
        <v>90.48</v>
      </c>
      <c r="I455" s="22">
        <v>0.1</v>
      </c>
      <c r="J455" s="12">
        <f t="shared" si="15"/>
        <v>81.430000000000007</v>
      </c>
      <c r="K455" s="17" t="s">
        <v>43</v>
      </c>
    </row>
    <row r="456" spans="1:11" x14ac:dyDescent="0.25">
      <c r="A456" s="17" t="s">
        <v>727</v>
      </c>
      <c r="B456" s="19">
        <v>46086</v>
      </c>
      <c r="C456" s="20">
        <f t="shared" si="14"/>
        <v>46082</v>
      </c>
      <c r="D456" s="17" t="s">
        <v>728</v>
      </c>
      <c r="E456" s="17" t="s">
        <v>26</v>
      </c>
      <c r="F456" s="17" t="s">
        <v>31</v>
      </c>
      <c r="G456" s="21">
        <v>1</v>
      </c>
      <c r="H456" s="12">
        <v>24.07</v>
      </c>
      <c r="I456" s="22">
        <v>0.15</v>
      </c>
      <c r="J456" s="12">
        <f t="shared" si="15"/>
        <v>20.46</v>
      </c>
      <c r="K456" s="17" t="s">
        <v>48</v>
      </c>
    </row>
    <row r="457" spans="1:11" x14ac:dyDescent="0.25">
      <c r="A457" s="17" t="s">
        <v>729</v>
      </c>
      <c r="B457" s="19">
        <v>46086</v>
      </c>
      <c r="C457" s="20">
        <f t="shared" si="14"/>
        <v>46082</v>
      </c>
      <c r="D457" s="17" t="s">
        <v>369</v>
      </c>
      <c r="E457" s="17" t="s">
        <v>21</v>
      </c>
      <c r="F457" s="17" t="s">
        <v>31</v>
      </c>
      <c r="G457" s="21">
        <v>4</v>
      </c>
      <c r="H457" s="12">
        <v>77.12</v>
      </c>
      <c r="I457" s="22">
        <v>0.15</v>
      </c>
      <c r="J457" s="12">
        <f t="shared" si="15"/>
        <v>262.20999999999998</v>
      </c>
      <c r="K457" s="17" t="s">
        <v>48</v>
      </c>
    </row>
    <row r="458" spans="1:11" x14ac:dyDescent="0.25">
      <c r="A458" s="17" t="s">
        <v>730</v>
      </c>
      <c r="B458" s="19">
        <v>46087</v>
      </c>
      <c r="C458" s="20">
        <f t="shared" si="14"/>
        <v>46082</v>
      </c>
      <c r="D458" s="17" t="s">
        <v>78</v>
      </c>
      <c r="E458" s="17" t="s">
        <v>25</v>
      </c>
      <c r="F458" s="17" t="s">
        <v>30</v>
      </c>
      <c r="G458" s="21">
        <v>5</v>
      </c>
      <c r="H458" s="12">
        <v>29.31</v>
      </c>
      <c r="I458" s="22">
        <v>0.05</v>
      </c>
      <c r="J458" s="12">
        <f t="shared" si="15"/>
        <v>139.22</v>
      </c>
      <c r="K458" s="17" t="s">
        <v>59</v>
      </c>
    </row>
    <row r="459" spans="1:11" x14ac:dyDescent="0.25">
      <c r="A459" s="17" t="s">
        <v>731</v>
      </c>
      <c r="B459" s="19">
        <v>46087</v>
      </c>
      <c r="C459" s="20">
        <f t="shared" si="14"/>
        <v>46082</v>
      </c>
      <c r="D459" s="17" t="s">
        <v>342</v>
      </c>
      <c r="E459" s="17" t="s">
        <v>18</v>
      </c>
      <c r="F459" s="17" t="s">
        <v>30</v>
      </c>
      <c r="G459" s="21">
        <v>1</v>
      </c>
      <c r="H459" s="12">
        <v>152.83000000000001</v>
      </c>
      <c r="I459" s="22">
        <v>0</v>
      </c>
      <c r="J459" s="12">
        <f t="shared" si="15"/>
        <v>152.83000000000001</v>
      </c>
      <c r="K459" s="17" t="s">
        <v>59</v>
      </c>
    </row>
    <row r="460" spans="1:11" x14ac:dyDescent="0.25">
      <c r="A460" s="17" t="s">
        <v>732</v>
      </c>
      <c r="B460" s="19">
        <v>46087</v>
      </c>
      <c r="C460" s="20">
        <f t="shared" si="14"/>
        <v>46082</v>
      </c>
      <c r="D460" s="17" t="s">
        <v>73</v>
      </c>
      <c r="E460" s="17" t="s">
        <v>21</v>
      </c>
      <c r="F460" s="17" t="s">
        <v>31</v>
      </c>
      <c r="G460" s="21">
        <v>1</v>
      </c>
      <c r="H460" s="12">
        <v>79.3</v>
      </c>
      <c r="I460" s="22">
        <v>0</v>
      </c>
      <c r="J460" s="12">
        <f t="shared" si="15"/>
        <v>79.3</v>
      </c>
      <c r="K460" s="17" t="s">
        <v>48</v>
      </c>
    </row>
    <row r="461" spans="1:11" x14ac:dyDescent="0.25">
      <c r="A461" s="17" t="s">
        <v>733</v>
      </c>
      <c r="B461" s="19">
        <v>46087</v>
      </c>
      <c r="C461" s="20">
        <f t="shared" si="14"/>
        <v>46082</v>
      </c>
      <c r="D461" s="17" t="s">
        <v>168</v>
      </c>
      <c r="E461" s="17" t="s">
        <v>18</v>
      </c>
      <c r="F461" s="17" t="s">
        <v>31</v>
      </c>
      <c r="G461" s="21">
        <v>1</v>
      </c>
      <c r="H461" s="12">
        <v>148.66</v>
      </c>
      <c r="I461" s="22">
        <v>0.05</v>
      </c>
      <c r="J461" s="12">
        <f t="shared" si="15"/>
        <v>141.22999999999999</v>
      </c>
      <c r="K461" s="17" t="s">
        <v>48</v>
      </c>
    </row>
    <row r="462" spans="1:11" x14ac:dyDescent="0.25">
      <c r="A462" s="17" t="s">
        <v>734</v>
      </c>
      <c r="B462" s="19">
        <v>46087</v>
      </c>
      <c r="C462" s="20">
        <f t="shared" si="14"/>
        <v>46082</v>
      </c>
      <c r="D462" s="17" t="s">
        <v>424</v>
      </c>
      <c r="E462" s="17" t="s">
        <v>25</v>
      </c>
      <c r="F462" s="17" t="s">
        <v>31</v>
      </c>
      <c r="G462" s="21">
        <v>4</v>
      </c>
      <c r="H462" s="12">
        <v>30.75</v>
      </c>
      <c r="I462" s="22">
        <v>0</v>
      </c>
      <c r="J462" s="12">
        <f t="shared" si="15"/>
        <v>123</v>
      </c>
      <c r="K462" s="17" t="s">
        <v>48</v>
      </c>
    </row>
    <row r="463" spans="1:11" x14ac:dyDescent="0.25">
      <c r="A463" s="17" t="s">
        <v>735</v>
      </c>
      <c r="B463" s="19">
        <v>46087</v>
      </c>
      <c r="C463" s="20">
        <f t="shared" si="14"/>
        <v>46082</v>
      </c>
      <c r="D463" s="17" t="s">
        <v>312</v>
      </c>
      <c r="E463" s="17" t="s">
        <v>27</v>
      </c>
      <c r="F463" s="17" t="s">
        <v>31</v>
      </c>
      <c r="G463" s="21">
        <v>1</v>
      </c>
      <c r="H463" s="12">
        <v>13.08</v>
      </c>
      <c r="I463" s="22">
        <v>0.1</v>
      </c>
      <c r="J463" s="12">
        <f t="shared" si="15"/>
        <v>11.77</v>
      </c>
      <c r="K463" s="17" t="s">
        <v>48</v>
      </c>
    </row>
    <row r="464" spans="1:11" x14ac:dyDescent="0.25">
      <c r="A464" s="17" t="s">
        <v>736</v>
      </c>
      <c r="B464" s="19">
        <v>46088</v>
      </c>
      <c r="C464" s="20">
        <f t="shared" si="14"/>
        <v>46082</v>
      </c>
      <c r="D464" s="17" t="s">
        <v>235</v>
      </c>
      <c r="E464" s="17" t="s">
        <v>17</v>
      </c>
      <c r="F464" s="17" t="s">
        <v>30</v>
      </c>
      <c r="G464" s="21">
        <v>1</v>
      </c>
      <c r="H464" s="12">
        <v>223.19</v>
      </c>
      <c r="I464" s="22">
        <v>0.05</v>
      </c>
      <c r="J464" s="12">
        <f t="shared" si="15"/>
        <v>212.03</v>
      </c>
      <c r="K464" s="17" t="s">
        <v>59</v>
      </c>
    </row>
    <row r="465" spans="1:11" x14ac:dyDescent="0.25">
      <c r="A465" s="17" t="s">
        <v>737</v>
      </c>
      <c r="B465" s="19">
        <v>46088</v>
      </c>
      <c r="C465" s="20">
        <f t="shared" si="14"/>
        <v>46082</v>
      </c>
      <c r="D465" s="17" t="s">
        <v>738</v>
      </c>
      <c r="E465" s="17" t="s">
        <v>16</v>
      </c>
      <c r="F465" s="17" t="s">
        <v>30</v>
      </c>
      <c r="G465" s="21">
        <v>3</v>
      </c>
      <c r="H465" s="12">
        <v>248.43</v>
      </c>
      <c r="I465" s="22">
        <v>0.15</v>
      </c>
      <c r="J465" s="12">
        <f t="shared" si="15"/>
        <v>633.5</v>
      </c>
      <c r="K465" s="17" t="s">
        <v>59</v>
      </c>
    </row>
    <row r="466" spans="1:11" x14ac:dyDescent="0.25">
      <c r="A466" s="17" t="s">
        <v>739</v>
      </c>
      <c r="B466" s="19">
        <v>46088</v>
      </c>
      <c r="C466" s="20">
        <f t="shared" si="14"/>
        <v>46082</v>
      </c>
      <c r="D466" s="17" t="s">
        <v>199</v>
      </c>
      <c r="E466" s="17" t="s">
        <v>19</v>
      </c>
      <c r="F466" s="17" t="s">
        <v>30</v>
      </c>
      <c r="G466" s="21">
        <v>2</v>
      </c>
      <c r="H466" s="12">
        <v>126.35</v>
      </c>
      <c r="I466" s="22">
        <v>0.1</v>
      </c>
      <c r="J466" s="12">
        <f t="shared" si="15"/>
        <v>227.43</v>
      </c>
      <c r="K466" s="17" t="s">
        <v>43</v>
      </c>
    </row>
    <row r="467" spans="1:11" x14ac:dyDescent="0.25">
      <c r="A467" s="17" t="s">
        <v>740</v>
      </c>
      <c r="B467" s="19">
        <v>46088</v>
      </c>
      <c r="C467" s="20">
        <f t="shared" si="14"/>
        <v>46082</v>
      </c>
      <c r="D467" s="17" t="s">
        <v>129</v>
      </c>
      <c r="E467" s="17" t="s">
        <v>22</v>
      </c>
      <c r="F467" s="17" t="s">
        <v>30</v>
      </c>
      <c r="G467" s="21">
        <v>2</v>
      </c>
      <c r="H467" s="12">
        <v>101.06</v>
      </c>
      <c r="I467" s="22">
        <v>0.15</v>
      </c>
      <c r="J467" s="12">
        <f t="shared" si="15"/>
        <v>171.8</v>
      </c>
      <c r="K467" s="17" t="s">
        <v>43</v>
      </c>
    </row>
    <row r="468" spans="1:11" x14ac:dyDescent="0.25">
      <c r="A468" s="17" t="s">
        <v>741</v>
      </c>
      <c r="B468" s="19">
        <v>46088</v>
      </c>
      <c r="C468" s="20">
        <f t="shared" si="14"/>
        <v>46082</v>
      </c>
      <c r="D468" s="17" t="s">
        <v>742</v>
      </c>
      <c r="E468" s="17" t="s">
        <v>20</v>
      </c>
      <c r="F468" s="17" t="s">
        <v>30</v>
      </c>
      <c r="G468" s="21">
        <v>3</v>
      </c>
      <c r="H468" s="12">
        <v>90.58</v>
      </c>
      <c r="I468" s="22">
        <v>0.05</v>
      </c>
      <c r="J468" s="12">
        <f t="shared" si="15"/>
        <v>258.14999999999998</v>
      </c>
      <c r="K468" s="17" t="s">
        <v>43</v>
      </c>
    </row>
    <row r="469" spans="1:11" x14ac:dyDescent="0.25">
      <c r="A469" s="17" t="s">
        <v>743</v>
      </c>
      <c r="B469" s="19">
        <v>46088</v>
      </c>
      <c r="C469" s="20">
        <f t="shared" si="14"/>
        <v>46082</v>
      </c>
      <c r="D469" s="17" t="s">
        <v>637</v>
      </c>
      <c r="E469" s="17" t="s">
        <v>27</v>
      </c>
      <c r="F469" s="17" t="s">
        <v>31</v>
      </c>
      <c r="G469" s="21">
        <v>2</v>
      </c>
      <c r="H469" s="12">
        <v>13.17</v>
      </c>
      <c r="I469" s="22">
        <v>0</v>
      </c>
      <c r="J469" s="12">
        <f t="shared" si="15"/>
        <v>26.34</v>
      </c>
      <c r="K469" s="17" t="s">
        <v>48</v>
      </c>
    </row>
    <row r="470" spans="1:11" x14ac:dyDescent="0.25">
      <c r="A470" s="17" t="s">
        <v>744</v>
      </c>
      <c r="B470" s="19">
        <v>46088</v>
      </c>
      <c r="C470" s="20">
        <f t="shared" si="14"/>
        <v>46082</v>
      </c>
      <c r="D470" s="17" t="s">
        <v>656</v>
      </c>
      <c r="E470" s="17" t="s">
        <v>23</v>
      </c>
      <c r="F470" s="17" t="s">
        <v>31</v>
      </c>
      <c r="G470" s="21">
        <v>4</v>
      </c>
      <c r="H470" s="12">
        <v>59.98</v>
      </c>
      <c r="I470" s="22">
        <v>0.05</v>
      </c>
      <c r="J470" s="12">
        <f t="shared" si="15"/>
        <v>227.92</v>
      </c>
      <c r="K470" s="17" t="s">
        <v>48</v>
      </c>
    </row>
    <row r="471" spans="1:11" x14ac:dyDescent="0.25">
      <c r="A471" s="17" t="s">
        <v>745</v>
      </c>
      <c r="B471" s="19">
        <v>46088</v>
      </c>
      <c r="C471" s="20">
        <f t="shared" si="14"/>
        <v>46082</v>
      </c>
      <c r="D471" s="17" t="s">
        <v>293</v>
      </c>
      <c r="E471" s="17" t="s">
        <v>21</v>
      </c>
      <c r="F471" s="17" t="s">
        <v>31</v>
      </c>
      <c r="G471" s="21">
        <v>4</v>
      </c>
      <c r="H471" s="12">
        <v>77.180000000000007</v>
      </c>
      <c r="I471" s="22">
        <v>0</v>
      </c>
      <c r="J471" s="12">
        <f t="shared" si="15"/>
        <v>308.72000000000003</v>
      </c>
      <c r="K471" s="17" t="s">
        <v>48</v>
      </c>
    </row>
    <row r="472" spans="1:11" x14ac:dyDescent="0.25">
      <c r="A472" s="17" t="s">
        <v>746</v>
      </c>
      <c r="B472" s="19">
        <v>46088</v>
      </c>
      <c r="C472" s="20">
        <f t="shared" si="14"/>
        <v>46082</v>
      </c>
      <c r="D472" s="17" t="s">
        <v>199</v>
      </c>
      <c r="E472" s="17" t="s">
        <v>24</v>
      </c>
      <c r="F472" s="17" t="s">
        <v>31</v>
      </c>
      <c r="G472" s="21">
        <v>1</v>
      </c>
      <c r="H472" s="12">
        <v>34.56</v>
      </c>
      <c r="I472" s="22">
        <v>0.15</v>
      </c>
      <c r="J472" s="12">
        <f t="shared" si="15"/>
        <v>29.38</v>
      </c>
      <c r="K472" s="17" t="s">
        <v>48</v>
      </c>
    </row>
    <row r="473" spans="1:11" x14ac:dyDescent="0.25">
      <c r="A473" s="17" t="s">
        <v>747</v>
      </c>
      <c r="B473" s="19">
        <v>46088</v>
      </c>
      <c r="C473" s="20">
        <f t="shared" si="14"/>
        <v>46082</v>
      </c>
      <c r="D473" s="17" t="s">
        <v>261</v>
      </c>
      <c r="E473" s="17" t="s">
        <v>16</v>
      </c>
      <c r="F473" s="17" t="s">
        <v>31</v>
      </c>
      <c r="G473" s="21">
        <v>1</v>
      </c>
      <c r="H473" s="12">
        <v>246.86</v>
      </c>
      <c r="I473" s="22">
        <v>0</v>
      </c>
      <c r="J473" s="12">
        <f t="shared" si="15"/>
        <v>246.86</v>
      </c>
      <c r="K473" s="17" t="s">
        <v>48</v>
      </c>
    </row>
    <row r="474" spans="1:11" x14ac:dyDescent="0.25">
      <c r="A474" s="17" t="s">
        <v>748</v>
      </c>
      <c r="B474" s="19">
        <v>46088</v>
      </c>
      <c r="C474" s="20">
        <f t="shared" si="14"/>
        <v>46082</v>
      </c>
      <c r="D474" s="17" t="s">
        <v>61</v>
      </c>
      <c r="E474" s="17" t="s">
        <v>17</v>
      </c>
      <c r="F474" s="17" t="s">
        <v>31</v>
      </c>
      <c r="G474" s="21">
        <v>3</v>
      </c>
      <c r="H474" s="12">
        <v>217.18</v>
      </c>
      <c r="I474" s="22">
        <v>0</v>
      </c>
      <c r="J474" s="12">
        <f t="shared" si="15"/>
        <v>651.54</v>
      </c>
      <c r="K474" s="17" t="s">
        <v>48</v>
      </c>
    </row>
    <row r="475" spans="1:11" x14ac:dyDescent="0.25">
      <c r="A475" s="17" t="s">
        <v>749</v>
      </c>
      <c r="B475" s="19">
        <v>46089</v>
      </c>
      <c r="C475" s="20">
        <f t="shared" si="14"/>
        <v>46082</v>
      </c>
      <c r="D475" s="17" t="s">
        <v>438</v>
      </c>
      <c r="E475" s="17" t="s">
        <v>16</v>
      </c>
      <c r="F475" s="17" t="s">
        <v>30</v>
      </c>
      <c r="G475" s="21">
        <v>1</v>
      </c>
      <c r="H475" s="12">
        <v>246.84</v>
      </c>
      <c r="I475" s="22">
        <v>0</v>
      </c>
      <c r="J475" s="12">
        <f t="shared" si="15"/>
        <v>246.84</v>
      </c>
      <c r="K475" s="17" t="s">
        <v>59</v>
      </c>
    </row>
    <row r="476" spans="1:11" x14ac:dyDescent="0.25">
      <c r="A476" s="17" t="s">
        <v>750</v>
      </c>
      <c r="B476" s="19">
        <v>46089</v>
      </c>
      <c r="C476" s="20">
        <f t="shared" si="14"/>
        <v>46082</v>
      </c>
      <c r="D476" s="17" t="s">
        <v>751</v>
      </c>
      <c r="E476" s="17" t="s">
        <v>23</v>
      </c>
      <c r="F476" s="17" t="s">
        <v>30</v>
      </c>
      <c r="G476" s="21">
        <v>1</v>
      </c>
      <c r="H476" s="12">
        <v>57.45</v>
      </c>
      <c r="I476" s="22">
        <v>0.15</v>
      </c>
      <c r="J476" s="12">
        <f t="shared" si="15"/>
        <v>48.83</v>
      </c>
      <c r="K476" s="17" t="s">
        <v>59</v>
      </c>
    </row>
    <row r="477" spans="1:11" x14ac:dyDescent="0.25">
      <c r="A477" s="17" t="s">
        <v>752</v>
      </c>
      <c r="B477" s="19">
        <v>46089</v>
      </c>
      <c r="C477" s="20">
        <f t="shared" si="14"/>
        <v>46082</v>
      </c>
      <c r="D477" s="17" t="s">
        <v>469</v>
      </c>
      <c r="E477" s="17" t="s">
        <v>17</v>
      </c>
      <c r="F477" s="17" t="s">
        <v>30</v>
      </c>
      <c r="G477" s="21">
        <v>1</v>
      </c>
      <c r="H477" s="12">
        <v>215</v>
      </c>
      <c r="I477" s="22">
        <v>0</v>
      </c>
      <c r="J477" s="12">
        <f t="shared" si="15"/>
        <v>215</v>
      </c>
      <c r="K477" s="17" t="s">
        <v>59</v>
      </c>
    </row>
    <row r="478" spans="1:11" x14ac:dyDescent="0.25">
      <c r="A478" s="17" t="s">
        <v>753</v>
      </c>
      <c r="B478" s="19">
        <v>46089</v>
      </c>
      <c r="C478" s="20">
        <f t="shared" si="14"/>
        <v>46082</v>
      </c>
      <c r="D478" s="17" t="s">
        <v>754</v>
      </c>
      <c r="E478" s="17" t="s">
        <v>16</v>
      </c>
      <c r="F478" s="17" t="s">
        <v>30</v>
      </c>
      <c r="G478" s="21">
        <v>4</v>
      </c>
      <c r="H478" s="12">
        <v>242.04</v>
      </c>
      <c r="I478" s="22">
        <v>0</v>
      </c>
      <c r="J478" s="12">
        <f t="shared" si="15"/>
        <v>968.16</v>
      </c>
      <c r="K478" s="17" t="s">
        <v>59</v>
      </c>
    </row>
    <row r="479" spans="1:11" x14ac:dyDescent="0.25">
      <c r="A479" s="17" t="s">
        <v>755</v>
      </c>
      <c r="B479" s="19">
        <v>46089</v>
      </c>
      <c r="C479" s="20">
        <f t="shared" si="14"/>
        <v>46082</v>
      </c>
      <c r="D479" s="17" t="s">
        <v>424</v>
      </c>
      <c r="E479" s="17" t="s">
        <v>16</v>
      </c>
      <c r="F479" s="17" t="s">
        <v>30</v>
      </c>
      <c r="G479" s="21">
        <v>2</v>
      </c>
      <c r="H479" s="12">
        <v>242.12</v>
      </c>
      <c r="I479" s="22">
        <v>0.05</v>
      </c>
      <c r="J479" s="12">
        <f t="shared" si="15"/>
        <v>460.03</v>
      </c>
      <c r="K479" s="17" t="s">
        <v>43</v>
      </c>
    </row>
    <row r="480" spans="1:11" x14ac:dyDescent="0.25">
      <c r="A480" s="17" t="s">
        <v>756</v>
      </c>
      <c r="B480" s="19">
        <v>46089</v>
      </c>
      <c r="C480" s="20">
        <f t="shared" si="14"/>
        <v>46082</v>
      </c>
      <c r="D480" s="17" t="s">
        <v>314</v>
      </c>
      <c r="E480" s="17" t="s">
        <v>19</v>
      </c>
      <c r="F480" s="17" t="s">
        <v>30</v>
      </c>
      <c r="G480" s="21">
        <v>2</v>
      </c>
      <c r="H480" s="12">
        <v>126.38</v>
      </c>
      <c r="I480" s="22">
        <v>0</v>
      </c>
      <c r="J480" s="12">
        <f t="shared" si="15"/>
        <v>252.76</v>
      </c>
      <c r="K480" s="17" t="s">
        <v>43</v>
      </c>
    </row>
    <row r="481" spans="1:11" x14ac:dyDescent="0.25">
      <c r="A481" s="17" t="s">
        <v>757</v>
      </c>
      <c r="B481" s="19">
        <v>46089</v>
      </c>
      <c r="C481" s="20">
        <f t="shared" si="14"/>
        <v>46082</v>
      </c>
      <c r="D481" s="17" t="s">
        <v>369</v>
      </c>
      <c r="E481" s="17" t="s">
        <v>27</v>
      </c>
      <c r="F481" s="17" t="s">
        <v>30</v>
      </c>
      <c r="G481" s="21">
        <v>4</v>
      </c>
      <c r="H481" s="12">
        <v>12.8</v>
      </c>
      <c r="I481" s="22">
        <v>0</v>
      </c>
      <c r="J481" s="12">
        <f t="shared" si="15"/>
        <v>51.2</v>
      </c>
      <c r="K481" s="17" t="s">
        <v>43</v>
      </c>
    </row>
    <row r="482" spans="1:11" x14ac:dyDescent="0.25">
      <c r="A482" s="17" t="s">
        <v>758</v>
      </c>
      <c r="B482" s="19">
        <v>46089</v>
      </c>
      <c r="C482" s="20">
        <f t="shared" si="14"/>
        <v>46082</v>
      </c>
      <c r="D482" s="17" t="s">
        <v>759</v>
      </c>
      <c r="E482" s="17" t="s">
        <v>18</v>
      </c>
      <c r="F482" s="17" t="s">
        <v>31</v>
      </c>
      <c r="G482" s="21">
        <v>2</v>
      </c>
      <c r="H482" s="12">
        <v>152.6</v>
      </c>
      <c r="I482" s="22">
        <v>0</v>
      </c>
      <c r="J482" s="12">
        <f t="shared" si="15"/>
        <v>305.2</v>
      </c>
      <c r="K482" s="17" t="s">
        <v>48</v>
      </c>
    </row>
    <row r="483" spans="1:11" x14ac:dyDescent="0.25">
      <c r="A483" s="17" t="s">
        <v>760</v>
      </c>
      <c r="B483" s="19">
        <v>46089</v>
      </c>
      <c r="C483" s="20">
        <f t="shared" si="14"/>
        <v>46082</v>
      </c>
      <c r="D483" s="17" t="s">
        <v>463</v>
      </c>
      <c r="E483" s="17" t="s">
        <v>18</v>
      </c>
      <c r="F483" s="17" t="s">
        <v>31</v>
      </c>
      <c r="G483" s="21">
        <v>1</v>
      </c>
      <c r="H483" s="12">
        <v>148.47</v>
      </c>
      <c r="I483" s="22">
        <v>0</v>
      </c>
      <c r="J483" s="12">
        <f t="shared" si="15"/>
        <v>148.47</v>
      </c>
      <c r="K483" s="17" t="s">
        <v>48</v>
      </c>
    </row>
    <row r="484" spans="1:11" x14ac:dyDescent="0.25">
      <c r="A484" s="17" t="s">
        <v>761</v>
      </c>
      <c r="B484" s="19">
        <v>46089</v>
      </c>
      <c r="C484" s="20">
        <f t="shared" si="14"/>
        <v>46082</v>
      </c>
      <c r="D484" s="17" t="s">
        <v>443</v>
      </c>
      <c r="E484" s="17" t="s">
        <v>25</v>
      </c>
      <c r="F484" s="17" t="s">
        <v>31</v>
      </c>
      <c r="G484" s="21">
        <v>3</v>
      </c>
      <c r="H484" s="12">
        <v>29.13</v>
      </c>
      <c r="I484" s="22">
        <v>0.1</v>
      </c>
      <c r="J484" s="12">
        <f t="shared" si="15"/>
        <v>78.650000000000006</v>
      </c>
      <c r="K484" s="17" t="s">
        <v>48</v>
      </c>
    </row>
    <row r="485" spans="1:11" x14ac:dyDescent="0.25">
      <c r="A485" s="17" t="s">
        <v>762</v>
      </c>
      <c r="B485" s="19">
        <v>46090</v>
      </c>
      <c r="C485" s="20">
        <f t="shared" si="14"/>
        <v>46082</v>
      </c>
      <c r="D485" s="17" t="s">
        <v>763</v>
      </c>
      <c r="E485" s="17" t="s">
        <v>23</v>
      </c>
      <c r="F485" s="17" t="s">
        <v>30</v>
      </c>
      <c r="G485" s="21">
        <v>1</v>
      </c>
      <c r="H485" s="12">
        <v>57.96</v>
      </c>
      <c r="I485" s="22">
        <v>0.1</v>
      </c>
      <c r="J485" s="12">
        <f t="shared" si="15"/>
        <v>52.16</v>
      </c>
      <c r="K485" s="17" t="s">
        <v>59</v>
      </c>
    </row>
    <row r="486" spans="1:11" x14ac:dyDescent="0.25">
      <c r="A486" s="17" t="s">
        <v>764</v>
      </c>
      <c r="B486" s="19">
        <v>46090</v>
      </c>
      <c r="C486" s="20">
        <f t="shared" si="14"/>
        <v>46082</v>
      </c>
      <c r="D486" s="17" t="s">
        <v>765</v>
      </c>
      <c r="E486" s="17" t="s">
        <v>27</v>
      </c>
      <c r="F486" s="17" t="s">
        <v>30</v>
      </c>
      <c r="G486" s="21">
        <v>2</v>
      </c>
      <c r="H486" s="12">
        <v>12.6</v>
      </c>
      <c r="I486" s="22">
        <v>0.1</v>
      </c>
      <c r="J486" s="12">
        <f t="shared" si="15"/>
        <v>22.68</v>
      </c>
      <c r="K486" s="17" t="s">
        <v>59</v>
      </c>
    </row>
    <row r="487" spans="1:11" x14ac:dyDescent="0.25">
      <c r="A487" s="17" t="s">
        <v>766</v>
      </c>
      <c r="B487" s="19">
        <v>46090</v>
      </c>
      <c r="C487" s="20">
        <f t="shared" si="14"/>
        <v>46082</v>
      </c>
      <c r="D487" s="17" t="s">
        <v>767</v>
      </c>
      <c r="E487" s="17" t="s">
        <v>20</v>
      </c>
      <c r="F487" s="17" t="s">
        <v>30</v>
      </c>
      <c r="G487" s="21">
        <v>1</v>
      </c>
      <c r="H487" s="12">
        <v>89.73</v>
      </c>
      <c r="I487" s="22">
        <v>0</v>
      </c>
      <c r="J487" s="12">
        <f t="shared" si="15"/>
        <v>89.73</v>
      </c>
      <c r="K487" s="17" t="s">
        <v>59</v>
      </c>
    </row>
    <row r="488" spans="1:11" x14ac:dyDescent="0.25">
      <c r="A488" s="17" t="s">
        <v>768</v>
      </c>
      <c r="B488" s="19">
        <v>46090</v>
      </c>
      <c r="C488" s="20">
        <f t="shared" si="14"/>
        <v>46082</v>
      </c>
      <c r="D488" s="17" t="s">
        <v>570</v>
      </c>
      <c r="E488" s="17" t="s">
        <v>27</v>
      </c>
      <c r="F488" s="17" t="s">
        <v>30</v>
      </c>
      <c r="G488" s="21">
        <v>1</v>
      </c>
      <c r="H488" s="12">
        <v>13.2</v>
      </c>
      <c r="I488" s="22">
        <v>0.05</v>
      </c>
      <c r="J488" s="12">
        <f t="shared" si="15"/>
        <v>12.54</v>
      </c>
      <c r="K488" s="17" t="s">
        <v>43</v>
      </c>
    </row>
    <row r="489" spans="1:11" x14ac:dyDescent="0.25">
      <c r="A489" s="17" t="s">
        <v>769</v>
      </c>
      <c r="B489" s="19">
        <v>46090</v>
      </c>
      <c r="C489" s="20">
        <f t="shared" si="14"/>
        <v>46082</v>
      </c>
      <c r="D489" s="17" t="s">
        <v>308</v>
      </c>
      <c r="E489" s="17" t="s">
        <v>18</v>
      </c>
      <c r="F489" s="17" t="s">
        <v>30</v>
      </c>
      <c r="G489" s="21">
        <v>3</v>
      </c>
      <c r="H489" s="12">
        <v>149.47999999999999</v>
      </c>
      <c r="I489" s="22">
        <v>0.05</v>
      </c>
      <c r="J489" s="12">
        <f t="shared" si="15"/>
        <v>426.02</v>
      </c>
      <c r="K489" s="17" t="s">
        <v>43</v>
      </c>
    </row>
    <row r="490" spans="1:11" x14ac:dyDescent="0.25">
      <c r="A490" s="17" t="s">
        <v>770</v>
      </c>
      <c r="B490" s="19">
        <v>46090</v>
      </c>
      <c r="C490" s="20">
        <f t="shared" si="14"/>
        <v>46082</v>
      </c>
      <c r="D490" s="17" t="s">
        <v>192</v>
      </c>
      <c r="E490" s="17" t="s">
        <v>21</v>
      </c>
      <c r="F490" s="17" t="s">
        <v>31</v>
      </c>
      <c r="G490" s="21">
        <v>5</v>
      </c>
      <c r="H490" s="12">
        <v>78.48</v>
      </c>
      <c r="I490" s="22">
        <v>0.1</v>
      </c>
      <c r="J490" s="12">
        <f t="shared" si="15"/>
        <v>353.16</v>
      </c>
      <c r="K490" s="17" t="s">
        <v>48</v>
      </c>
    </row>
    <row r="491" spans="1:11" x14ac:dyDescent="0.25">
      <c r="A491" s="17" t="s">
        <v>771</v>
      </c>
      <c r="B491" s="19">
        <v>46090</v>
      </c>
      <c r="C491" s="20">
        <f t="shared" si="14"/>
        <v>46082</v>
      </c>
      <c r="D491" s="17" t="s">
        <v>204</v>
      </c>
      <c r="E491" s="17" t="s">
        <v>18</v>
      </c>
      <c r="F491" s="17" t="s">
        <v>31</v>
      </c>
      <c r="G491" s="21">
        <v>1</v>
      </c>
      <c r="H491" s="12">
        <v>153.30000000000001</v>
      </c>
      <c r="I491" s="22">
        <v>0</v>
      </c>
      <c r="J491" s="12">
        <f t="shared" si="15"/>
        <v>153.30000000000001</v>
      </c>
      <c r="K491" s="17" t="s">
        <v>48</v>
      </c>
    </row>
    <row r="492" spans="1:11" x14ac:dyDescent="0.25">
      <c r="A492" s="17" t="s">
        <v>772</v>
      </c>
      <c r="B492" s="19">
        <v>46090</v>
      </c>
      <c r="C492" s="20">
        <f t="shared" si="14"/>
        <v>46082</v>
      </c>
      <c r="D492" s="17" t="s">
        <v>773</v>
      </c>
      <c r="E492" s="17" t="s">
        <v>16</v>
      </c>
      <c r="F492" s="17" t="s">
        <v>31</v>
      </c>
      <c r="G492" s="21">
        <v>5</v>
      </c>
      <c r="H492" s="12">
        <v>248.96</v>
      </c>
      <c r="I492" s="22">
        <v>0.1</v>
      </c>
      <c r="J492" s="12">
        <f t="shared" si="15"/>
        <v>1120.32</v>
      </c>
      <c r="K492" s="17" t="s">
        <v>48</v>
      </c>
    </row>
    <row r="493" spans="1:11" x14ac:dyDescent="0.25">
      <c r="A493" s="17" t="s">
        <v>774</v>
      </c>
      <c r="B493" s="19">
        <v>46091</v>
      </c>
      <c r="C493" s="20">
        <f t="shared" si="14"/>
        <v>46082</v>
      </c>
      <c r="D493" s="17" t="s">
        <v>477</v>
      </c>
      <c r="E493" s="17" t="s">
        <v>20</v>
      </c>
      <c r="F493" s="17" t="s">
        <v>30</v>
      </c>
      <c r="G493" s="21">
        <v>2</v>
      </c>
      <c r="H493" s="12">
        <v>88.27</v>
      </c>
      <c r="I493" s="22">
        <v>0</v>
      </c>
      <c r="J493" s="12">
        <f t="shared" si="15"/>
        <v>176.54</v>
      </c>
      <c r="K493" s="17" t="s">
        <v>59</v>
      </c>
    </row>
    <row r="494" spans="1:11" x14ac:dyDescent="0.25">
      <c r="A494" s="17" t="s">
        <v>775</v>
      </c>
      <c r="B494" s="19">
        <v>46091</v>
      </c>
      <c r="C494" s="20">
        <f t="shared" si="14"/>
        <v>46082</v>
      </c>
      <c r="D494" s="17" t="s">
        <v>776</v>
      </c>
      <c r="E494" s="17" t="s">
        <v>21</v>
      </c>
      <c r="F494" s="17" t="s">
        <v>30</v>
      </c>
      <c r="G494" s="21">
        <v>1</v>
      </c>
      <c r="H494" s="12">
        <v>76.650000000000006</v>
      </c>
      <c r="I494" s="22">
        <v>0.1</v>
      </c>
      <c r="J494" s="12">
        <f t="shared" si="15"/>
        <v>68.989999999999995</v>
      </c>
      <c r="K494" s="17" t="s">
        <v>59</v>
      </c>
    </row>
    <row r="495" spans="1:11" x14ac:dyDescent="0.25">
      <c r="A495" s="17" t="s">
        <v>777</v>
      </c>
      <c r="B495" s="19">
        <v>46091</v>
      </c>
      <c r="C495" s="20">
        <f t="shared" si="14"/>
        <v>46082</v>
      </c>
      <c r="D495" s="17" t="s">
        <v>283</v>
      </c>
      <c r="E495" s="17" t="s">
        <v>22</v>
      </c>
      <c r="F495" s="17" t="s">
        <v>30</v>
      </c>
      <c r="G495" s="21">
        <v>1</v>
      </c>
      <c r="H495" s="12">
        <v>99.44</v>
      </c>
      <c r="I495" s="22">
        <v>0.05</v>
      </c>
      <c r="J495" s="12">
        <f t="shared" si="15"/>
        <v>94.47</v>
      </c>
      <c r="K495" s="17" t="s">
        <v>59</v>
      </c>
    </row>
    <row r="496" spans="1:11" x14ac:dyDescent="0.25">
      <c r="A496" s="17" t="s">
        <v>778</v>
      </c>
      <c r="B496" s="19">
        <v>46091</v>
      </c>
      <c r="C496" s="20">
        <f t="shared" si="14"/>
        <v>46082</v>
      </c>
      <c r="D496" s="17" t="s">
        <v>150</v>
      </c>
      <c r="E496" s="17" t="s">
        <v>27</v>
      </c>
      <c r="F496" s="17" t="s">
        <v>30</v>
      </c>
      <c r="G496" s="21">
        <v>3</v>
      </c>
      <c r="H496" s="12">
        <v>12.75</v>
      </c>
      <c r="I496" s="22">
        <v>0.1</v>
      </c>
      <c r="J496" s="12">
        <f t="shared" si="15"/>
        <v>34.43</v>
      </c>
      <c r="K496" s="17" t="s">
        <v>59</v>
      </c>
    </row>
    <row r="497" spans="1:11" x14ac:dyDescent="0.25">
      <c r="A497" s="17" t="s">
        <v>779</v>
      </c>
      <c r="B497" s="19">
        <v>46091</v>
      </c>
      <c r="C497" s="20">
        <f t="shared" si="14"/>
        <v>46082</v>
      </c>
      <c r="D497" s="17" t="s">
        <v>164</v>
      </c>
      <c r="E497" s="17" t="s">
        <v>22</v>
      </c>
      <c r="F497" s="17" t="s">
        <v>30</v>
      </c>
      <c r="G497" s="21">
        <v>4</v>
      </c>
      <c r="H497" s="12">
        <v>99.06</v>
      </c>
      <c r="I497" s="22">
        <v>0</v>
      </c>
      <c r="J497" s="12">
        <f t="shared" si="15"/>
        <v>396.24</v>
      </c>
      <c r="K497" s="17" t="s">
        <v>43</v>
      </c>
    </row>
    <row r="498" spans="1:11" x14ac:dyDescent="0.25">
      <c r="A498" s="17" t="s">
        <v>780</v>
      </c>
      <c r="B498" s="19">
        <v>46091</v>
      </c>
      <c r="C498" s="20">
        <f t="shared" si="14"/>
        <v>46082</v>
      </c>
      <c r="D498" s="17" t="s">
        <v>73</v>
      </c>
      <c r="E498" s="17" t="s">
        <v>25</v>
      </c>
      <c r="F498" s="17" t="s">
        <v>30</v>
      </c>
      <c r="G498" s="21">
        <v>3</v>
      </c>
      <c r="H498" s="12">
        <v>30.51</v>
      </c>
      <c r="I498" s="22">
        <v>0.15</v>
      </c>
      <c r="J498" s="12">
        <f t="shared" si="15"/>
        <v>77.8</v>
      </c>
      <c r="K498" s="17" t="s">
        <v>43</v>
      </c>
    </row>
    <row r="499" spans="1:11" x14ac:dyDescent="0.25">
      <c r="A499" s="17" t="s">
        <v>781</v>
      </c>
      <c r="B499" s="19">
        <v>46091</v>
      </c>
      <c r="C499" s="20">
        <f t="shared" si="14"/>
        <v>46082</v>
      </c>
      <c r="D499" s="17" t="s">
        <v>157</v>
      </c>
      <c r="E499" s="17" t="s">
        <v>21</v>
      </c>
      <c r="F499" s="17" t="s">
        <v>31</v>
      </c>
      <c r="G499" s="21">
        <v>1</v>
      </c>
      <c r="H499" s="12">
        <v>77.540000000000006</v>
      </c>
      <c r="I499" s="22">
        <v>0.15</v>
      </c>
      <c r="J499" s="12">
        <f t="shared" si="15"/>
        <v>65.91</v>
      </c>
      <c r="K499" s="17" t="s">
        <v>48</v>
      </c>
    </row>
    <row r="500" spans="1:11" x14ac:dyDescent="0.25">
      <c r="A500" s="17" t="s">
        <v>782</v>
      </c>
      <c r="B500" s="19">
        <v>46091</v>
      </c>
      <c r="C500" s="20">
        <f t="shared" si="14"/>
        <v>46082</v>
      </c>
      <c r="D500" s="17" t="s">
        <v>131</v>
      </c>
      <c r="E500" s="17" t="s">
        <v>24</v>
      </c>
      <c r="F500" s="17" t="s">
        <v>31</v>
      </c>
      <c r="G500" s="21">
        <v>1</v>
      </c>
      <c r="H500" s="12">
        <v>34.909999999999997</v>
      </c>
      <c r="I500" s="22">
        <v>0.15</v>
      </c>
      <c r="J500" s="12">
        <f t="shared" si="15"/>
        <v>29.67</v>
      </c>
      <c r="K500" s="17" t="s">
        <v>48</v>
      </c>
    </row>
    <row r="501" spans="1:11" x14ac:dyDescent="0.25">
      <c r="A501" s="17" t="s">
        <v>783</v>
      </c>
      <c r="B501" s="19">
        <v>46091</v>
      </c>
      <c r="C501" s="20">
        <f t="shared" si="14"/>
        <v>46082</v>
      </c>
      <c r="D501" s="17" t="s">
        <v>135</v>
      </c>
      <c r="E501" s="17" t="s">
        <v>26</v>
      </c>
      <c r="F501" s="17" t="s">
        <v>31</v>
      </c>
      <c r="G501" s="21">
        <v>3</v>
      </c>
      <c r="H501" s="12">
        <v>24.76</v>
      </c>
      <c r="I501" s="22">
        <v>0</v>
      </c>
      <c r="J501" s="12">
        <f t="shared" si="15"/>
        <v>74.28</v>
      </c>
      <c r="K501" s="17" t="s">
        <v>48</v>
      </c>
    </row>
    <row r="502" spans="1:11" x14ac:dyDescent="0.25">
      <c r="A502" s="17" t="s">
        <v>784</v>
      </c>
      <c r="B502" s="19">
        <v>46092</v>
      </c>
      <c r="C502" s="20">
        <f t="shared" si="14"/>
        <v>46082</v>
      </c>
      <c r="D502" s="17" t="s">
        <v>582</v>
      </c>
      <c r="E502" s="17" t="s">
        <v>18</v>
      </c>
      <c r="F502" s="17" t="s">
        <v>30</v>
      </c>
      <c r="G502" s="21">
        <v>5</v>
      </c>
      <c r="H502" s="12">
        <v>147.01</v>
      </c>
      <c r="I502" s="22">
        <v>0</v>
      </c>
      <c r="J502" s="12">
        <f t="shared" si="15"/>
        <v>735.05</v>
      </c>
      <c r="K502" s="17" t="s">
        <v>59</v>
      </c>
    </row>
    <row r="503" spans="1:11" x14ac:dyDescent="0.25">
      <c r="A503" s="17" t="s">
        <v>785</v>
      </c>
      <c r="B503" s="19">
        <v>46092</v>
      </c>
      <c r="C503" s="20">
        <f t="shared" si="14"/>
        <v>46082</v>
      </c>
      <c r="D503" s="17" t="s">
        <v>786</v>
      </c>
      <c r="E503" s="17" t="s">
        <v>20</v>
      </c>
      <c r="F503" s="17" t="s">
        <v>30</v>
      </c>
      <c r="G503" s="21">
        <v>1</v>
      </c>
      <c r="H503" s="12">
        <v>87.41</v>
      </c>
      <c r="I503" s="22">
        <v>0</v>
      </c>
      <c r="J503" s="12">
        <f t="shared" si="15"/>
        <v>87.41</v>
      </c>
      <c r="K503" s="17" t="s">
        <v>43</v>
      </c>
    </row>
    <row r="504" spans="1:11" x14ac:dyDescent="0.25">
      <c r="A504" s="17" t="s">
        <v>787</v>
      </c>
      <c r="B504" s="19">
        <v>46092</v>
      </c>
      <c r="C504" s="20">
        <f t="shared" si="14"/>
        <v>46082</v>
      </c>
      <c r="D504" s="17" t="s">
        <v>788</v>
      </c>
      <c r="E504" s="17" t="s">
        <v>27</v>
      </c>
      <c r="F504" s="17" t="s">
        <v>31</v>
      </c>
      <c r="G504" s="21">
        <v>3</v>
      </c>
      <c r="H504" s="12">
        <v>12.88</v>
      </c>
      <c r="I504" s="22">
        <v>0</v>
      </c>
      <c r="J504" s="12">
        <f t="shared" si="15"/>
        <v>38.64</v>
      </c>
      <c r="K504" s="17" t="s">
        <v>48</v>
      </c>
    </row>
    <row r="505" spans="1:11" x14ac:dyDescent="0.25">
      <c r="A505" s="17" t="s">
        <v>789</v>
      </c>
      <c r="B505" s="19">
        <v>46092</v>
      </c>
      <c r="C505" s="20">
        <f t="shared" si="14"/>
        <v>46082</v>
      </c>
      <c r="D505" s="17" t="s">
        <v>790</v>
      </c>
      <c r="E505" s="17" t="s">
        <v>18</v>
      </c>
      <c r="F505" s="17" t="s">
        <v>31</v>
      </c>
      <c r="G505" s="21">
        <v>3</v>
      </c>
      <c r="H505" s="12">
        <v>146.81</v>
      </c>
      <c r="I505" s="22">
        <v>0.15</v>
      </c>
      <c r="J505" s="12">
        <f t="shared" si="15"/>
        <v>374.37</v>
      </c>
      <c r="K505" s="17" t="s">
        <v>48</v>
      </c>
    </row>
    <row r="506" spans="1:11" x14ac:dyDescent="0.25">
      <c r="A506" s="17" t="s">
        <v>791</v>
      </c>
      <c r="B506" s="19">
        <v>46092</v>
      </c>
      <c r="C506" s="20">
        <f t="shared" si="14"/>
        <v>46082</v>
      </c>
      <c r="D506" s="17" t="s">
        <v>773</v>
      </c>
      <c r="E506" s="17" t="s">
        <v>26</v>
      </c>
      <c r="F506" s="17" t="s">
        <v>31</v>
      </c>
      <c r="G506" s="21">
        <v>2</v>
      </c>
      <c r="H506" s="12">
        <v>25.05</v>
      </c>
      <c r="I506" s="22">
        <v>0.15</v>
      </c>
      <c r="J506" s="12">
        <f t="shared" si="15"/>
        <v>42.59</v>
      </c>
      <c r="K506" s="17" t="s">
        <v>48</v>
      </c>
    </row>
    <row r="507" spans="1:11" x14ac:dyDescent="0.25">
      <c r="A507" s="17" t="s">
        <v>792</v>
      </c>
      <c r="B507" s="19">
        <v>46093</v>
      </c>
      <c r="C507" s="20">
        <f t="shared" si="14"/>
        <v>46082</v>
      </c>
      <c r="D507" s="17" t="s">
        <v>793</v>
      </c>
      <c r="E507" s="17" t="s">
        <v>20</v>
      </c>
      <c r="F507" s="17" t="s">
        <v>30</v>
      </c>
      <c r="G507" s="21">
        <v>3</v>
      </c>
      <c r="H507" s="12">
        <v>89.18</v>
      </c>
      <c r="I507" s="22">
        <v>0.1</v>
      </c>
      <c r="J507" s="12">
        <f t="shared" si="15"/>
        <v>240.79</v>
      </c>
      <c r="K507" s="17" t="s">
        <v>59</v>
      </c>
    </row>
    <row r="508" spans="1:11" x14ac:dyDescent="0.25">
      <c r="A508" s="17" t="s">
        <v>794</v>
      </c>
      <c r="B508" s="19">
        <v>46093</v>
      </c>
      <c r="C508" s="20">
        <f t="shared" si="14"/>
        <v>46082</v>
      </c>
      <c r="D508" s="17" t="s">
        <v>339</v>
      </c>
      <c r="E508" s="17" t="s">
        <v>23</v>
      </c>
      <c r="F508" s="17" t="s">
        <v>30</v>
      </c>
      <c r="G508" s="21">
        <v>4</v>
      </c>
      <c r="H508" s="12">
        <v>59.29</v>
      </c>
      <c r="I508" s="22">
        <v>0</v>
      </c>
      <c r="J508" s="12">
        <f t="shared" si="15"/>
        <v>237.16</v>
      </c>
      <c r="K508" s="17" t="s">
        <v>43</v>
      </c>
    </row>
    <row r="509" spans="1:11" x14ac:dyDescent="0.25">
      <c r="A509" s="17" t="s">
        <v>795</v>
      </c>
      <c r="B509" s="19">
        <v>46093</v>
      </c>
      <c r="C509" s="20">
        <f t="shared" si="14"/>
        <v>46082</v>
      </c>
      <c r="D509" s="17" t="s">
        <v>78</v>
      </c>
      <c r="E509" s="17" t="s">
        <v>18</v>
      </c>
      <c r="F509" s="17" t="s">
        <v>31</v>
      </c>
      <c r="G509" s="21">
        <v>5</v>
      </c>
      <c r="H509" s="12">
        <v>146.13999999999999</v>
      </c>
      <c r="I509" s="22">
        <v>0</v>
      </c>
      <c r="J509" s="12">
        <f t="shared" si="15"/>
        <v>730.7</v>
      </c>
      <c r="K509" s="17" t="s">
        <v>48</v>
      </c>
    </row>
    <row r="510" spans="1:11" x14ac:dyDescent="0.25">
      <c r="A510" s="17" t="s">
        <v>796</v>
      </c>
      <c r="B510" s="19">
        <v>46093</v>
      </c>
      <c r="C510" s="20">
        <f t="shared" si="14"/>
        <v>46082</v>
      </c>
      <c r="D510" s="17" t="s">
        <v>159</v>
      </c>
      <c r="E510" s="17" t="s">
        <v>24</v>
      </c>
      <c r="F510" s="17" t="s">
        <v>31</v>
      </c>
      <c r="G510" s="21">
        <v>5</v>
      </c>
      <c r="H510" s="12">
        <v>34.53</v>
      </c>
      <c r="I510" s="22">
        <v>0.1</v>
      </c>
      <c r="J510" s="12">
        <f t="shared" si="15"/>
        <v>155.38999999999999</v>
      </c>
      <c r="K510" s="17" t="s">
        <v>48</v>
      </c>
    </row>
    <row r="511" spans="1:11" x14ac:dyDescent="0.25">
      <c r="A511" s="17" t="s">
        <v>797</v>
      </c>
      <c r="B511" s="19">
        <v>46093</v>
      </c>
      <c r="C511" s="20">
        <f t="shared" si="14"/>
        <v>46082</v>
      </c>
      <c r="D511" s="17" t="s">
        <v>651</v>
      </c>
      <c r="E511" s="17" t="s">
        <v>25</v>
      </c>
      <c r="F511" s="17" t="s">
        <v>31</v>
      </c>
      <c r="G511" s="21">
        <v>1</v>
      </c>
      <c r="H511" s="12">
        <v>30.09</v>
      </c>
      <c r="I511" s="22">
        <v>0.05</v>
      </c>
      <c r="J511" s="12">
        <f t="shared" si="15"/>
        <v>28.59</v>
      </c>
      <c r="K511" s="17" t="s">
        <v>48</v>
      </c>
    </row>
    <row r="512" spans="1:11" x14ac:dyDescent="0.25">
      <c r="A512" s="17" t="s">
        <v>798</v>
      </c>
      <c r="B512" s="19">
        <v>46093</v>
      </c>
      <c r="C512" s="20">
        <f t="shared" si="14"/>
        <v>46082</v>
      </c>
      <c r="D512" s="17" t="s">
        <v>159</v>
      </c>
      <c r="E512" s="17" t="s">
        <v>26</v>
      </c>
      <c r="F512" s="17" t="s">
        <v>31</v>
      </c>
      <c r="G512" s="21">
        <v>5</v>
      </c>
      <c r="H512" s="12">
        <v>23.98</v>
      </c>
      <c r="I512" s="22">
        <v>0.1</v>
      </c>
      <c r="J512" s="12">
        <f t="shared" si="15"/>
        <v>107.91</v>
      </c>
      <c r="K512" s="17" t="s">
        <v>48</v>
      </c>
    </row>
    <row r="513" spans="1:11" x14ac:dyDescent="0.25">
      <c r="A513" s="17" t="s">
        <v>799</v>
      </c>
      <c r="B513" s="19">
        <v>46093</v>
      </c>
      <c r="C513" s="20">
        <f t="shared" si="14"/>
        <v>46082</v>
      </c>
      <c r="D513" s="17" t="s">
        <v>125</v>
      </c>
      <c r="E513" s="17" t="s">
        <v>23</v>
      </c>
      <c r="F513" s="17" t="s">
        <v>31</v>
      </c>
      <c r="G513" s="21">
        <v>1</v>
      </c>
      <c r="H513" s="12">
        <v>59.64</v>
      </c>
      <c r="I513" s="22">
        <v>0.15</v>
      </c>
      <c r="J513" s="12">
        <f t="shared" si="15"/>
        <v>50.69</v>
      </c>
      <c r="K513" s="17" t="s">
        <v>48</v>
      </c>
    </row>
    <row r="514" spans="1:11" x14ac:dyDescent="0.25">
      <c r="A514" s="17" t="s">
        <v>800</v>
      </c>
      <c r="B514" s="19">
        <v>46094</v>
      </c>
      <c r="C514" s="20">
        <f t="shared" ref="C514:C577" si="16">DATE(YEAR(B514),MONTH(B514),1)</f>
        <v>46082</v>
      </c>
      <c r="D514" s="17" t="s">
        <v>659</v>
      </c>
      <c r="E514" s="17" t="s">
        <v>27</v>
      </c>
      <c r="F514" s="17" t="s">
        <v>30</v>
      </c>
      <c r="G514" s="21">
        <v>2</v>
      </c>
      <c r="H514" s="12">
        <v>13.14</v>
      </c>
      <c r="I514" s="22">
        <v>0</v>
      </c>
      <c r="J514" s="12">
        <f t="shared" ref="J514:J577" si="17">ROUND(G514*H514*(1-I514),2)</f>
        <v>26.28</v>
      </c>
      <c r="K514" s="17" t="s">
        <v>59</v>
      </c>
    </row>
    <row r="515" spans="1:11" x14ac:dyDescent="0.25">
      <c r="A515" s="17" t="s">
        <v>801</v>
      </c>
      <c r="B515" s="19">
        <v>46094</v>
      </c>
      <c r="C515" s="20">
        <f t="shared" si="16"/>
        <v>46082</v>
      </c>
      <c r="D515" s="17" t="s">
        <v>557</v>
      </c>
      <c r="E515" s="17" t="s">
        <v>24</v>
      </c>
      <c r="F515" s="17" t="s">
        <v>30</v>
      </c>
      <c r="G515" s="21">
        <v>2</v>
      </c>
      <c r="H515" s="12">
        <v>35.49</v>
      </c>
      <c r="I515" s="22">
        <v>0</v>
      </c>
      <c r="J515" s="12">
        <f t="shared" si="17"/>
        <v>70.98</v>
      </c>
      <c r="K515" s="17" t="s">
        <v>59</v>
      </c>
    </row>
    <row r="516" spans="1:11" x14ac:dyDescent="0.25">
      <c r="A516" s="17" t="s">
        <v>802</v>
      </c>
      <c r="B516" s="19">
        <v>46094</v>
      </c>
      <c r="C516" s="20">
        <f t="shared" si="16"/>
        <v>46082</v>
      </c>
      <c r="D516" s="17" t="s">
        <v>803</v>
      </c>
      <c r="E516" s="17" t="s">
        <v>26</v>
      </c>
      <c r="F516" s="17" t="s">
        <v>30</v>
      </c>
      <c r="G516" s="21">
        <v>5</v>
      </c>
      <c r="H516" s="12">
        <v>23.81</v>
      </c>
      <c r="I516" s="22">
        <v>0.05</v>
      </c>
      <c r="J516" s="12">
        <f t="shared" si="17"/>
        <v>113.1</v>
      </c>
      <c r="K516" s="17" t="s">
        <v>59</v>
      </c>
    </row>
    <row r="517" spans="1:11" x14ac:dyDescent="0.25">
      <c r="A517" s="17" t="s">
        <v>804</v>
      </c>
      <c r="B517" s="19">
        <v>46094</v>
      </c>
      <c r="C517" s="20">
        <f t="shared" si="16"/>
        <v>46082</v>
      </c>
      <c r="D517" s="17" t="s">
        <v>431</v>
      </c>
      <c r="E517" s="17" t="s">
        <v>17</v>
      </c>
      <c r="F517" s="17" t="s">
        <v>30</v>
      </c>
      <c r="G517" s="21">
        <v>3</v>
      </c>
      <c r="H517" s="12">
        <v>224.87</v>
      </c>
      <c r="I517" s="22">
        <v>0.05</v>
      </c>
      <c r="J517" s="12">
        <f t="shared" si="17"/>
        <v>640.88</v>
      </c>
      <c r="K517" s="17" t="s">
        <v>59</v>
      </c>
    </row>
    <row r="518" spans="1:11" x14ac:dyDescent="0.25">
      <c r="A518" s="17" t="s">
        <v>805</v>
      </c>
      <c r="B518" s="19">
        <v>46094</v>
      </c>
      <c r="C518" s="20">
        <f t="shared" si="16"/>
        <v>46082</v>
      </c>
      <c r="D518" s="17" t="s">
        <v>52</v>
      </c>
      <c r="E518" s="17" t="s">
        <v>24</v>
      </c>
      <c r="F518" s="17" t="s">
        <v>31</v>
      </c>
      <c r="G518" s="21">
        <v>4</v>
      </c>
      <c r="H518" s="12">
        <v>35.549999999999997</v>
      </c>
      <c r="I518" s="22">
        <v>0.15</v>
      </c>
      <c r="J518" s="12">
        <f t="shared" si="17"/>
        <v>120.87</v>
      </c>
      <c r="K518" s="17" t="s">
        <v>48</v>
      </c>
    </row>
    <row r="519" spans="1:11" x14ac:dyDescent="0.25">
      <c r="A519" s="17" t="s">
        <v>806</v>
      </c>
      <c r="B519" s="19">
        <v>46094</v>
      </c>
      <c r="C519" s="20">
        <f t="shared" si="16"/>
        <v>46082</v>
      </c>
      <c r="D519" s="17" t="s">
        <v>807</v>
      </c>
      <c r="E519" s="17" t="s">
        <v>25</v>
      </c>
      <c r="F519" s="17" t="s">
        <v>31</v>
      </c>
      <c r="G519" s="21">
        <v>4</v>
      </c>
      <c r="H519" s="12">
        <v>30.32</v>
      </c>
      <c r="I519" s="22">
        <v>0.15</v>
      </c>
      <c r="J519" s="12">
        <f t="shared" si="17"/>
        <v>103.09</v>
      </c>
      <c r="K519" s="17" t="s">
        <v>48</v>
      </c>
    </row>
    <row r="520" spans="1:11" x14ac:dyDescent="0.25">
      <c r="A520" s="17" t="s">
        <v>808</v>
      </c>
      <c r="B520" s="19">
        <v>46094</v>
      </c>
      <c r="C520" s="20">
        <f t="shared" si="16"/>
        <v>46082</v>
      </c>
      <c r="D520" s="17" t="s">
        <v>392</v>
      </c>
      <c r="E520" s="17" t="s">
        <v>26</v>
      </c>
      <c r="F520" s="17" t="s">
        <v>31</v>
      </c>
      <c r="G520" s="21">
        <v>4</v>
      </c>
      <c r="H520" s="12">
        <v>24.28</v>
      </c>
      <c r="I520" s="22">
        <v>0.15</v>
      </c>
      <c r="J520" s="12">
        <f t="shared" si="17"/>
        <v>82.55</v>
      </c>
      <c r="K520" s="17" t="s">
        <v>48</v>
      </c>
    </row>
    <row r="521" spans="1:11" x14ac:dyDescent="0.25">
      <c r="A521" s="17" t="s">
        <v>809</v>
      </c>
      <c r="B521" s="19">
        <v>46095</v>
      </c>
      <c r="C521" s="20">
        <f t="shared" si="16"/>
        <v>46082</v>
      </c>
      <c r="D521" s="17" t="s">
        <v>322</v>
      </c>
      <c r="E521" s="17" t="s">
        <v>21</v>
      </c>
      <c r="F521" s="17" t="s">
        <v>30</v>
      </c>
      <c r="G521" s="21">
        <v>1</v>
      </c>
      <c r="H521" s="12">
        <v>81.09</v>
      </c>
      <c r="I521" s="22">
        <v>0</v>
      </c>
      <c r="J521" s="12">
        <f t="shared" si="17"/>
        <v>81.09</v>
      </c>
      <c r="K521" s="17" t="s">
        <v>59</v>
      </c>
    </row>
    <row r="522" spans="1:11" x14ac:dyDescent="0.25">
      <c r="A522" s="17" t="s">
        <v>810</v>
      </c>
      <c r="B522" s="19">
        <v>46095</v>
      </c>
      <c r="C522" s="20">
        <f t="shared" si="16"/>
        <v>46082</v>
      </c>
      <c r="D522" s="17" t="s">
        <v>110</v>
      </c>
      <c r="E522" s="17" t="s">
        <v>24</v>
      </c>
      <c r="F522" s="17" t="s">
        <v>30</v>
      </c>
      <c r="G522" s="21">
        <v>4</v>
      </c>
      <c r="H522" s="12">
        <v>35.06</v>
      </c>
      <c r="I522" s="22">
        <v>0.1</v>
      </c>
      <c r="J522" s="12">
        <f t="shared" si="17"/>
        <v>126.22</v>
      </c>
      <c r="K522" s="17" t="s">
        <v>59</v>
      </c>
    </row>
    <row r="523" spans="1:11" x14ac:dyDescent="0.25">
      <c r="A523" s="17" t="s">
        <v>811</v>
      </c>
      <c r="B523" s="19">
        <v>46095</v>
      </c>
      <c r="C523" s="20">
        <f t="shared" si="16"/>
        <v>46082</v>
      </c>
      <c r="D523" s="17" t="s">
        <v>94</v>
      </c>
      <c r="E523" s="17" t="s">
        <v>18</v>
      </c>
      <c r="F523" s="17" t="s">
        <v>30</v>
      </c>
      <c r="G523" s="21">
        <v>1</v>
      </c>
      <c r="H523" s="12">
        <v>147.32</v>
      </c>
      <c r="I523" s="22">
        <v>0.1</v>
      </c>
      <c r="J523" s="12">
        <f t="shared" si="17"/>
        <v>132.59</v>
      </c>
      <c r="K523" s="17" t="s">
        <v>59</v>
      </c>
    </row>
    <row r="524" spans="1:11" x14ac:dyDescent="0.25">
      <c r="A524" s="17" t="s">
        <v>812</v>
      </c>
      <c r="B524" s="19">
        <v>46095</v>
      </c>
      <c r="C524" s="20">
        <f t="shared" si="16"/>
        <v>46082</v>
      </c>
      <c r="D524" s="17" t="s">
        <v>813</v>
      </c>
      <c r="E524" s="17" t="s">
        <v>24</v>
      </c>
      <c r="F524" s="17" t="s">
        <v>30</v>
      </c>
      <c r="G524" s="21">
        <v>3</v>
      </c>
      <c r="H524" s="12">
        <v>35.56</v>
      </c>
      <c r="I524" s="22">
        <v>0.1</v>
      </c>
      <c r="J524" s="12">
        <f t="shared" si="17"/>
        <v>96.01</v>
      </c>
      <c r="K524" s="17" t="s">
        <v>59</v>
      </c>
    </row>
    <row r="525" spans="1:11" x14ac:dyDescent="0.25">
      <c r="A525" s="17" t="s">
        <v>814</v>
      </c>
      <c r="B525" s="19">
        <v>46095</v>
      </c>
      <c r="C525" s="20">
        <f t="shared" si="16"/>
        <v>46082</v>
      </c>
      <c r="D525" s="17" t="s">
        <v>404</v>
      </c>
      <c r="E525" s="17" t="s">
        <v>19</v>
      </c>
      <c r="F525" s="17" t="s">
        <v>30</v>
      </c>
      <c r="G525" s="21">
        <v>5</v>
      </c>
      <c r="H525" s="12">
        <v>125.67</v>
      </c>
      <c r="I525" s="22">
        <v>0.15</v>
      </c>
      <c r="J525" s="12">
        <f t="shared" si="17"/>
        <v>534.1</v>
      </c>
      <c r="K525" s="17" t="s">
        <v>43</v>
      </c>
    </row>
    <row r="526" spans="1:11" x14ac:dyDescent="0.25">
      <c r="A526" s="17" t="s">
        <v>815</v>
      </c>
      <c r="B526" s="19">
        <v>46095</v>
      </c>
      <c r="C526" s="20">
        <f t="shared" si="16"/>
        <v>46082</v>
      </c>
      <c r="D526" s="17" t="s">
        <v>78</v>
      </c>
      <c r="E526" s="17" t="s">
        <v>27</v>
      </c>
      <c r="F526" s="17" t="s">
        <v>30</v>
      </c>
      <c r="G526" s="21">
        <v>1</v>
      </c>
      <c r="H526" s="12">
        <v>13.37</v>
      </c>
      <c r="I526" s="22">
        <v>0.05</v>
      </c>
      <c r="J526" s="12">
        <f t="shared" si="17"/>
        <v>12.7</v>
      </c>
      <c r="K526" s="17" t="s">
        <v>43</v>
      </c>
    </row>
    <row r="527" spans="1:11" x14ac:dyDescent="0.25">
      <c r="A527" s="17" t="s">
        <v>816</v>
      </c>
      <c r="B527" s="19">
        <v>46095</v>
      </c>
      <c r="C527" s="20">
        <f t="shared" si="16"/>
        <v>46082</v>
      </c>
      <c r="D527" s="17" t="s">
        <v>404</v>
      </c>
      <c r="E527" s="17" t="s">
        <v>25</v>
      </c>
      <c r="F527" s="17" t="s">
        <v>30</v>
      </c>
      <c r="G527" s="21">
        <v>2</v>
      </c>
      <c r="H527" s="12">
        <v>29.56</v>
      </c>
      <c r="I527" s="22">
        <v>0</v>
      </c>
      <c r="J527" s="12">
        <f t="shared" si="17"/>
        <v>59.12</v>
      </c>
      <c r="K527" s="17" t="s">
        <v>43</v>
      </c>
    </row>
    <row r="528" spans="1:11" x14ac:dyDescent="0.25">
      <c r="A528" s="17" t="s">
        <v>817</v>
      </c>
      <c r="B528" s="19">
        <v>46095</v>
      </c>
      <c r="C528" s="20">
        <f t="shared" si="16"/>
        <v>46082</v>
      </c>
      <c r="D528" s="17" t="s">
        <v>818</v>
      </c>
      <c r="E528" s="17" t="s">
        <v>26</v>
      </c>
      <c r="F528" s="17" t="s">
        <v>31</v>
      </c>
      <c r="G528" s="21">
        <v>3</v>
      </c>
      <c r="H528" s="12">
        <v>24.47</v>
      </c>
      <c r="I528" s="22">
        <v>0.15</v>
      </c>
      <c r="J528" s="12">
        <f t="shared" si="17"/>
        <v>62.4</v>
      </c>
      <c r="K528" s="17" t="s">
        <v>48</v>
      </c>
    </row>
    <row r="529" spans="1:11" x14ac:dyDescent="0.25">
      <c r="A529" s="17" t="s">
        <v>819</v>
      </c>
      <c r="B529" s="19">
        <v>46095</v>
      </c>
      <c r="C529" s="20">
        <f t="shared" si="16"/>
        <v>46082</v>
      </c>
      <c r="D529" s="17" t="s">
        <v>346</v>
      </c>
      <c r="E529" s="17" t="s">
        <v>21</v>
      </c>
      <c r="F529" s="17" t="s">
        <v>31</v>
      </c>
      <c r="G529" s="21">
        <v>3</v>
      </c>
      <c r="H529" s="12">
        <v>77.59</v>
      </c>
      <c r="I529" s="22">
        <v>0.1</v>
      </c>
      <c r="J529" s="12">
        <f t="shared" si="17"/>
        <v>209.49</v>
      </c>
      <c r="K529" s="17" t="s">
        <v>48</v>
      </c>
    </row>
    <row r="530" spans="1:11" x14ac:dyDescent="0.25">
      <c r="A530" s="17" t="s">
        <v>820</v>
      </c>
      <c r="B530" s="19">
        <v>46095</v>
      </c>
      <c r="C530" s="20">
        <f t="shared" si="16"/>
        <v>46082</v>
      </c>
      <c r="D530" s="17" t="s">
        <v>821</v>
      </c>
      <c r="E530" s="17" t="s">
        <v>23</v>
      </c>
      <c r="F530" s="17" t="s">
        <v>31</v>
      </c>
      <c r="G530" s="21">
        <v>1</v>
      </c>
      <c r="H530" s="12">
        <v>60.55</v>
      </c>
      <c r="I530" s="22">
        <v>0.05</v>
      </c>
      <c r="J530" s="12">
        <f t="shared" si="17"/>
        <v>57.52</v>
      </c>
      <c r="K530" s="17" t="s">
        <v>48</v>
      </c>
    </row>
    <row r="531" spans="1:11" x14ac:dyDescent="0.25">
      <c r="A531" s="17" t="s">
        <v>822</v>
      </c>
      <c r="B531" s="19">
        <v>46096</v>
      </c>
      <c r="C531" s="20">
        <f t="shared" si="16"/>
        <v>46082</v>
      </c>
      <c r="D531" s="17" t="s">
        <v>261</v>
      </c>
      <c r="E531" s="17" t="s">
        <v>21</v>
      </c>
      <c r="F531" s="17" t="s">
        <v>30</v>
      </c>
      <c r="G531" s="21">
        <v>4</v>
      </c>
      <c r="H531" s="12">
        <v>77.41</v>
      </c>
      <c r="I531" s="22">
        <v>0</v>
      </c>
      <c r="J531" s="12">
        <f t="shared" si="17"/>
        <v>309.64</v>
      </c>
      <c r="K531" s="17" t="s">
        <v>59</v>
      </c>
    </row>
    <row r="532" spans="1:11" x14ac:dyDescent="0.25">
      <c r="A532" s="17" t="s">
        <v>823</v>
      </c>
      <c r="B532" s="19">
        <v>46096</v>
      </c>
      <c r="C532" s="20">
        <f t="shared" si="16"/>
        <v>46082</v>
      </c>
      <c r="D532" s="17" t="s">
        <v>483</v>
      </c>
      <c r="E532" s="17" t="s">
        <v>25</v>
      </c>
      <c r="F532" s="17" t="s">
        <v>30</v>
      </c>
      <c r="G532" s="21">
        <v>1</v>
      </c>
      <c r="H532" s="12">
        <v>29.27</v>
      </c>
      <c r="I532" s="22">
        <v>0.15</v>
      </c>
      <c r="J532" s="12">
        <f t="shared" si="17"/>
        <v>24.88</v>
      </c>
      <c r="K532" s="17" t="s">
        <v>59</v>
      </c>
    </row>
    <row r="533" spans="1:11" x14ac:dyDescent="0.25">
      <c r="A533" s="17" t="s">
        <v>824</v>
      </c>
      <c r="B533" s="19">
        <v>46096</v>
      </c>
      <c r="C533" s="20">
        <f t="shared" si="16"/>
        <v>46082</v>
      </c>
      <c r="D533" s="17" t="s">
        <v>249</v>
      </c>
      <c r="E533" s="17" t="s">
        <v>22</v>
      </c>
      <c r="F533" s="17" t="s">
        <v>30</v>
      </c>
      <c r="G533" s="21">
        <v>1</v>
      </c>
      <c r="H533" s="12">
        <v>99.14</v>
      </c>
      <c r="I533" s="22">
        <v>0</v>
      </c>
      <c r="J533" s="12">
        <f t="shared" si="17"/>
        <v>99.14</v>
      </c>
      <c r="K533" s="17" t="s">
        <v>59</v>
      </c>
    </row>
    <row r="534" spans="1:11" x14ac:dyDescent="0.25">
      <c r="A534" s="17" t="s">
        <v>825</v>
      </c>
      <c r="B534" s="19">
        <v>46096</v>
      </c>
      <c r="C534" s="20">
        <f t="shared" si="16"/>
        <v>46082</v>
      </c>
      <c r="D534" s="17" t="s">
        <v>106</v>
      </c>
      <c r="E534" s="17" t="s">
        <v>24</v>
      </c>
      <c r="F534" s="17" t="s">
        <v>30</v>
      </c>
      <c r="G534" s="21">
        <v>4</v>
      </c>
      <c r="H534" s="12">
        <v>35.03</v>
      </c>
      <c r="I534" s="22">
        <v>0</v>
      </c>
      <c r="J534" s="12">
        <f t="shared" si="17"/>
        <v>140.12</v>
      </c>
      <c r="K534" s="17" t="s">
        <v>43</v>
      </c>
    </row>
    <row r="535" spans="1:11" x14ac:dyDescent="0.25">
      <c r="A535" s="17" t="s">
        <v>826</v>
      </c>
      <c r="B535" s="19">
        <v>46096</v>
      </c>
      <c r="C535" s="20">
        <f t="shared" si="16"/>
        <v>46082</v>
      </c>
      <c r="D535" s="17" t="s">
        <v>592</v>
      </c>
      <c r="E535" s="17" t="s">
        <v>25</v>
      </c>
      <c r="F535" s="17" t="s">
        <v>31</v>
      </c>
      <c r="G535" s="21">
        <v>2</v>
      </c>
      <c r="H535" s="12">
        <v>29.57</v>
      </c>
      <c r="I535" s="22">
        <v>0.15</v>
      </c>
      <c r="J535" s="12">
        <f t="shared" si="17"/>
        <v>50.27</v>
      </c>
      <c r="K535" s="17" t="s">
        <v>48</v>
      </c>
    </row>
    <row r="536" spans="1:11" x14ac:dyDescent="0.25">
      <c r="A536" s="17" t="s">
        <v>827</v>
      </c>
      <c r="B536" s="19">
        <v>46096</v>
      </c>
      <c r="C536" s="20">
        <f t="shared" si="16"/>
        <v>46082</v>
      </c>
      <c r="D536" s="17" t="s">
        <v>71</v>
      </c>
      <c r="E536" s="17" t="s">
        <v>26</v>
      </c>
      <c r="F536" s="17" t="s">
        <v>31</v>
      </c>
      <c r="G536" s="21">
        <v>2</v>
      </c>
      <c r="H536" s="12">
        <v>24.93</v>
      </c>
      <c r="I536" s="22">
        <v>0.15</v>
      </c>
      <c r="J536" s="12">
        <f t="shared" si="17"/>
        <v>42.38</v>
      </c>
      <c r="K536" s="17" t="s">
        <v>48</v>
      </c>
    </row>
    <row r="537" spans="1:11" x14ac:dyDescent="0.25">
      <c r="A537" s="17" t="s">
        <v>828</v>
      </c>
      <c r="B537" s="19">
        <v>46096</v>
      </c>
      <c r="C537" s="20">
        <f t="shared" si="16"/>
        <v>46082</v>
      </c>
      <c r="D537" s="17" t="s">
        <v>829</v>
      </c>
      <c r="E537" s="17" t="s">
        <v>24</v>
      </c>
      <c r="F537" s="17" t="s">
        <v>31</v>
      </c>
      <c r="G537" s="21">
        <v>4</v>
      </c>
      <c r="H537" s="12">
        <v>34.57</v>
      </c>
      <c r="I537" s="22">
        <v>0.15</v>
      </c>
      <c r="J537" s="12">
        <f t="shared" si="17"/>
        <v>117.54</v>
      </c>
      <c r="K537" s="17" t="s">
        <v>48</v>
      </c>
    </row>
    <row r="538" spans="1:11" x14ac:dyDescent="0.25">
      <c r="A538" s="17" t="s">
        <v>830</v>
      </c>
      <c r="B538" s="19">
        <v>46097</v>
      </c>
      <c r="C538" s="20">
        <f t="shared" si="16"/>
        <v>46082</v>
      </c>
      <c r="D538" s="17" t="s">
        <v>543</v>
      </c>
      <c r="E538" s="17" t="s">
        <v>27</v>
      </c>
      <c r="F538" s="17" t="s">
        <v>30</v>
      </c>
      <c r="G538" s="21">
        <v>5</v>
      </c>
      <c r="H538" s="12">
        <v>12.91</v>
      </c>
      <c r="I538" s="22">
        <v>0.1</v>
      </c>
      <c r="J538" s="12">
        <f t="shared" si="17"/>
        <v>58.1</v>
      </c>
      <c r="K538" s="17" t="s">
        <v>59</v>
      </c>
    </row>
    <row r="539" spans="1:11" x14ac:dyDescent="0.25">
      <c r="A539" s="17" t="s">
        <v>831</v>
      </c>
      <c r="B539" s="19">
        <v>46097</v>
      </c>
      <c r="C539" s="20">
        <f t="shared" si="16"/>
        <v>46082</v>
      </c>
      <c r="D539" s="17" t="s">
        <v>832</v>
      </c>
      <c r="E539" s="17" t="s">
        <v>16</v>
      </c>
      <c r="F539" s="17" t="s">
        <v>30</v>
      </c>
      <c r="G539" s="21">
        <v>5</v>
      </c>
      <c r="H539" s="12">
        <v>244.61</v>
      </c>
      <c r="I539" s="22">
        <v>0</v>
      </c>
      <c r="J539" s="12">
        <f t="shared" si="17"/>
        <v>1223.05</v>
      </c>
      <c r="K539" s="17" t="s">
        <v>59</v>
      </c>
    </row>
    <row r="540" spans="1:11" x14ac:dyDescent="0.25">
      <c r="A540" s="17" t="s">
        <v>833</v>
      </c>
      <c r="B540" s="19">
        <v>46097</v>
      </c>
      <c r="C540" s="20">
        <f t="shared" si="16"/>
        <v>46082</v>
      </c>
      <c r="D540" s="17" t="s">
        <v>834</v>
      </c>
      <c r="E540" s="17" t="s">
        <v>17</v>
      </c>
      <c r="F540" s="17" t="s">
        <v>30</v>
      </c>
      <c r="G540" s="21">
        <v>2</v>
      </c>
      <c r="H540" s="12">
        <v>222.24</v>
      </c>
      <c r="I540" s="22">
        <v>0</v>
      </c>
      <c r="J540" s="12">
        <f t="shared" si="17"/>
        <v>444.48</v>
      </c>
      <c r="K540" s="17" t="s">
        <v>43</v>
      </c>
    </row>
    <row r="541" spans="1:11" x14ac:dyDescent="0.25">
      <c r="A541" s="17" t="s">
        <v>835</v>
      </c>
      <c r="B541" s="19">
        <v>46097</v>
      </c>
      <c r="C541" s="20">
        <f t="shared" si="16"/>
        <v>46082</v>
      </c>
      <c r="D541" s="17" t="s">
        <v>110</v>
      </c>
      <c r="E541" s="17" t="s">
        <v>27</v>
      </c>
      <c r="F541" s="17" t="s">
        <v>31</v>
      </c>
      <c r="G541" s="21">
        <v>3</v>
      </c>
      <c r="H541" s="12">
        <v>13.15</v>
      </c>
      <c r="I541" s="22">
        <v>0.15</v>
      </c>
      <c r="J541" s="12">
        <f t="shared" si="17"/>
        <v>33.53</v>
      </c>
      <c r="K541" s="17" t="s">
        <v>48</v>
      </c>
    </row>
    <row r="542" spans="1:11" x14ac:dyDescent="0.25">
      <c r="A542" s="17" t="s">
        <v>836</v>
      </c>
      <c r="B542" s="19">
        <v>46097</v>
      </c>
      <c r="C542" s="20">
        <f t="shared" si="16"/>
        <v>46082</v>
      </c>
      <c r="D542" s="17" t="s">
        <v>499</v>
      </c>
      <c r="E542" s="17" t="s">
        <v>17</v>
      </c>
      <c r="F542" s="17" t="s">
        <v>31</v>
      </c>
      <c r="G542" s="21">
        <v>1</v>
      </c>
      <c r="H542" s="12">
        <v>213.12</v>
      </c>
      <c r="I542" s="22">
        <v>0.05</v>
      </c>
      <c r="J542" s="12">
        <f t="shared" si="17"/>
        <v>202.46</v>
      </c>
      <c r="K542" s="17" t="s">
        <v>48</v>
      </c>
    </row>
    <row r="543" spans="1:11" x14ac:dyDescent="0.25">
      <c r="A543" s="17" t="s">
        <v>837</v>
      </c>
      <c r="B543" s="19">
        <v>46098</v>
      </c>
      <c r="C543" s="20">
        <f t="shared" si="16"/>
        <v>46082</v>
      </c>
      <c r="D543" s="17" t="s">
        <v>227</v>
      </c>
      <c r="E543" s="17" t="s">
        <v>24</v>
      </c>
      <c r="F543" s="17" t="s">
        <v>30</v>
      </c>
      <c r="G543" s="21">
        <v>1</v>
      </c>
      <c r="H543" s="12">
        <v>34.299999999999997</v>
      </c>
      <c r="I543" s="22">
        <v>0</v>
      </c>
      <c r="J543" s="12">
        <f t="shared" si="17"/>
        <v>34.299999999999997</v>
      </c>
      <c r="K543" s="17" t="s">
        <v>59</v>
      </c>
    </row>
    <row r="544" spans="1:11" x14ac:dyDescent="0.25">
      <c r="A544" s="17" t="s">
        <v>838</v>
      </c>
      <c r="B544" s="19">
        <v>46098</v>
      </c>
      <c r="C544" s="20">
        <f t="shared" si="16"/>
        <v>46082</v>
      </c>
      <c r="D544" s="17" t="s">
        <v>78</v>
      </c>
      <c r="E544" s="17" t="s">
        <v>17</v>
      </c>
      <c r="F544" s="17" t="s">
        <v>30</v>
      </c>
      <c r="G544" s="21">
        <v>4</v>
      </c>
      <c r="H544" s="12">
        <v>215.86</v>
      </c>
      <c r="I544" s="22">
        <v>0</v>
      </c>
      <c r="J544" s="12">
        <f t="shared" si="17"/>
        <v>863.44</v>
      </c>
      <c r="K544" s="17" t="s">
        <v>59</v>
      </c>
    </row>
    <row r="545" spans="1:11" x14ac:dyDescent="0.25">
      <c r="A545" s="17" t="s">
        <v>839</v>
      </c>
      <c r="B545" s="19">
        <v>46098</v>
      </c>
      <c r="C545" s="20">
        <f t="shared" si="16"/>
        <v>46082</v>
      </c>
      <c r="D545" s="17" t="s">
        <v>76</v>
      </c>
      <c r="E545" s="17" t="s">
        <v>16</v>
      </c>
      <c r="F545" s="17" t="s">
        <v>30</v>
      </c>
      <c r="G545" s="21">
        <v>5</v>
      </c>
      <c r="H545" s="12">
        <v>253.59</v>
      </c>
      <c r="I545" s="22">
        <v>0</v>
      </c>
      <c r="J545" s="12">
        <f t="shared" si="17"/>
        <v>1267.95</v>
      </c>
      <c r="K545" s="17" t="s">
        <v>59</v>
      </c>
    </row>
    <row r="546" spans="1:11" x14ac:dyDescent="0.25">
      <c r="A546" s="17" t="s">
        <v>840</v>
      </c>
      <c r="B546" s="19">
        <v>46098</v>
      </c>
      <c r="C546" s="20">
        <f t="shared" si="16"/>
        <v>46082</v>
      </c>
      <c r="D546" s="17" t="s">
        <v>841</v>
      </c>
      <c r="E546" s="17" t="s">
        <v>20</v>
      </c>
      <c r="F546" s="17" t="s">
        <v>30</v>
      </c>
      <c r="G546" s="21">
        <v>2</v>
      </c>
      <c r="H546" s="12">
        <v>87.63</v>
      </c>
      <c r="I546" s="22">
        <v>0</v>
      </c>
      <c r="J546" s="12">
        <f t="shared" si="17"/>
        <v>175.26</v>
      </c>
      <c r="K546" s="17" t="s">
        <v>59</v>
      </c>
    </row>
    <row r="547" spans="1:11" x14ac:dyDescent="0.25">
      <c r="A547" s="17" t="s">
        <v>842</v>
      </c>
      <c r="B547" s="19">
        <v>46098</v>
      </c>
      <c r="C547" s="20">
        <f t="shared" si="16"/>
        <v>46082</v>
      </c>
      <c r="D547" s="17" t="s">
        <v>357</v>
      </c>
      <c r="E547" s="17" t="s">
        <v>20</v>
      </c>
      <c r="F547" s="17" t="s">
        <v>30</v>
      </c>
      <c r="G547" s="21">
        <v>1</v>
      </c>
      <c r="H547" s="12">
        <v>88.03</v>
      </c>
      <c r="I547" s="22">
        <v>0.15</v>
      </c>
      <c r="J547" s="12">
        <f t="shared" si="17"/>
        <v>74.83</v>
      </c>
      <c r="K547" s="17" t="s">
        <v>43</v>
      </c>
    </row>
    <row r="548" spans="1:11" x14ac:dyDescent="0.25">
      <c r="A548" s="17" t="s">
        <v>843</v>
      </c>
      <c r="B548" s="19">
        <v>46099</v>
      </c>
      <c r="C548" s="20">
        <f t="shared" si="16"/>
        <v>46082</v>
      </c>
      <c r="D548" s="17" t="s">
        <v>183</v>
      </c>
      <c r="E548" s="17" t="s">
        <v>25</v>
      </c>
      <c r="F548" s="17" t="s">
        <v>30</v>
      </c>
      <c r="G548" s="21">
        <v>2</v>
      </c>
      <c r="H548" s="12">
        <v>30.05</v>
      </c>
      <c r="I548" s="22">
        <v>0.15</v>
      </c>
      <c r="J548" s="12">
        <f t="shared" si="17"/>
        <v>51.09</v>
      </c>
      <c r="K548" s="17" t="s">
        <v>59</v>
      </c>
    </row>
    <row r="549" spans="1:11" x14ac:dyDescent="0.25">
      <c r="A549" s="17" t="s">
        <v>844</v>
      </c>
      <c r="B549" s="19">
        <v>46099</v>
      </c>
      <c r="C549" s="20">
        <f t="shared" si="16"/>
        <v>46082</v>
      </c>
      <c r="D549" s="17" t="s">
        <v>845</v>
      </c>
      <c r="E549" s="17" t="s">
        <v>24</v>
      </c>
      <c r="F549" s="17" t="s">
        <v>31</v>
      </c>
      <c r="G549" s="21">
        <v>5</v>
      </c>
      <c r="H549" s="12">
        <v>35.21</v>
      </c>
      <c r="I549" s="22">
        <v>0</v>
      </c>
      <c r="J549" s="12">
        <f t="shared" si="17"/>
        <v>176.05</v>
      </c>
      <c r="K549" s="17" t="s">
        <v>48</v>
      </c>
    </row>
    <row r="550" spans="1:11" x14ac:dyDescent="0.25">
      <c r="A550" s="17" t="s">
        <v>846</v>
      </c>
      <c r="B550" s="19">
        <v>46099</v>
      </c>
      <c r="C550" s="20">
        <f t="shared" si="16"/>
        <v>46082</v>
      </c>
      <c r="D550" s="17" t="s">
        <v>144</v>
      </c>
      <c r="E550" s="17" t="s">
        <v>20</v>
      </c>
      <c r="F550" s="17" t="s">
        <v>31</v>
      </c>
      <c r="G550" s="21">
        <v>1</v>
      </c>
      <c r="H550" s="12">
        <v>89.76</v>
      </c>
      <c r="I550" s="22">
        <v>0.15</v>
      </c>
      <c r="J550" s="12">
        <f t="shared" si="17"/>
        <v>76.3</v>
      </c>
      <c r="K550" s="17" t="s">
        <v>48</v>
      </c>
    </row>
    <row r="551" spans="1:11" x14ac:dyDescent="0.25">
      <c r="A551" s="17" t="s">
        <v>847</v>
      </c>
      <c r="B551" s="19">
        <v>46099</v>
      </c>
      <c r="C551" s="20">
        <f t="shared" si="16"/>
        <v>46082</v>
      </c>
      <c r="D551" s="17" t="s">
        <v>172</v>
      </c>
      <c r="E551" s="17" t="s">
        <v>27</v>
      </c>
      <c r="F551" s="17" t="s">
        <v>31</v>
      </c>
      <c r="G551" s="21">
        <v>5</v>
      </c>
      <c r="H551" s="12">
        <v>12.81</v>
      </c>
      <c r="I551" s="22">
        <v>0</v>
      </c>
      <c r="J551" s="12">
        <f t="shared" si="17"/>
        <v>64.05</v>
      </c>
      <c r="K551" s="17" t="s">
        <v>48</v>
      </c>
    </row>
    <row r="552" spans="1:11" x14ac:dyDescent="0.25">
      <c r="A552" s="17" t="s">
        <v>848</v>
      </c>
      <c r="B552" s="19">
        <v>46099</v>
      </c>
      <c r="C552" s="20">
        <f t="shared" si="16"/>
        <v>46082</v>
      </c>
      <c r="D552" s="17" t="s">
        <v>261</v>
      </c>
      <c r="E552" s="17" t="s">
        <v>22</v>
      </c>
      <c r="F552" s="17" t="s">
        <v>31</v>
      </c>
      <c r="G552" s="21">
        <v>1</v>
      </c>
      <c r="H552" s="12">
        <v>98.67</v>
      </c>
      <c r="I552" s="22">
        <v>0</v>
      </c>
      <c r="J552" s="12">
        <f t="shared" si="17"/>
        <v>98.67</v>
      </c>
      <c r="K552" s="17" t="s">
        <v>48</v>
      </c>
    </row>
    <row r="553" spans="1:11" x14ac:dyDescent="0.25">
      <c r="A553" s="17" t="s">
        <v>849</v>
      </c>
      <c r="B553" s="19">
        <v>46100</v>
      </c>
      <c r="C553" s="20">
        <f t="shared" si="16"/>
        <v>46082</v>
      </c>
      <c r="D553" s="17" t="s">
        <v>850</v>
      </c>
      <c r="E553" s="17" t="s">
        <v>27</v>
      </c>
      <c r="F553" s="17" t="s">
        <v>30</v>
      </c>
      <c r="G553" s="21">
        <v>3</v>
      </c>
      <c r="H553" s="12">
        <v>13.27</v>
      </c>
      <c r="I553" s="22">
        <v>0.05</v>
      </c>
      <c r="J553" s="12">
        <f t="shared" si="17"/>
        <v>37.82</v>
      </c>
      <c r="K553" s="17" t="s">
        <v>59</v>
      </c>
    </row>
    <row r="554" spans="1:11" x14ac:dyDescent="0.25">
      <c r="A554" s="17" t="s">
        <v>851</v>
      </c>
      <c r="B554" s="19">
        <v>46100</v>
      </c>
      <c r="C554" s="20">
        <f t="shared" si="16"/>
        <v>46082</v>
      </c>
      <c r="D554" s="17" t="s">
        <v>728</v>
      </c>
      <c r="E554" s="17" t="s">
        <v>22</v>
      </c>
      <c r="F554" s="17" t="s">
        <v>30</v>
      </c>
      <c r="G554" s="21">
        <v>3</v>
      </c>
      <c r="H554" s="12">
        <v>99.74</v>
      </c>
      <c r="I554" s="22">
        <v>0.05</v>
      </c>
      <c r="J554" s="12">
        <f t="shared" si="17"/>
        <v>284.26</v>
      </c>
      <c r="K554" s="17" t="s">
        <v>59</v>
      </c>
    </row>
    <row r="555" spans="1:11" x14ac:dyDescent="0.25">
      <c r="A555" s="17" t="s">
        <v>852</v>
      </c>
      <c r="B555" s="19">
        <v>46100</v>
      </c>
      <c r="C555" s="20">
        <f t="shared" si="16"/>
        <v>46082</v>
      </c>
      <c r="D555" s="17" t="s">
        <v>94</v>
      </c>
      <c r="E555" s="17" t="s">
        <v>20</v>
      </c>
      <c r="F555" s="17" t="s">
        <v>30</v>
      </c>
      <c r="G555" s="21">
        <v>2</v>
      </c>
      <c r="H555" s="12">
        <v>87.38</v>
      </c>
      <c r="I555" s="22">
        <v>0.15</v>
      </c>
      <c r="J555" s="12">
        <f t="shared" si="17"/>
        <v>148.55000000000001</v>
      </c>
      <c r="K555" s="17" t="s">
        <v>59</v>
      </c>
    </row>
    <row r="556" spans="1:11" x14ac:dyDescent="0.25">
      <c r="A556" s="17" t="s">
        <v>853</v>
      </c>
      <c r="B556" s="19">
        <v>46100</v>
      </c>
      <c r="C556" s="20">
        <f t="shared" si="16"/>
        <v>46082</v>
      </c>
      <c r="D556" s="17" t="s">
        <v>141</v>
      </c>
      <c r="E556" s="17" t="s">
        <v>17</v>
      </c>
      <c r="F556" s="17" t="s">
        <v>30</v>
      </c>
      <c r="G556" s="21">
        <v>2</v>
      </c>
      <c r="H556" s="12">
        <v>220.33</v>
      </c>
      <c r="I556" s="22">
        <v>0</v>
      </c>
      <c r="J556" s="12">
        <f t="shared" si="17"/>
        <v>440.66</v>
      </c>
      <c r="K556" s="17" t="s">
        <v>43</v>
      </c>
    </row>
    <row r="557" spans="1:11" x14ac:dyDescent="0.25">
      <c r="A557" s="17" t="s">
        <v>854</v>
      </c>
      <c r="B557" s="19">
        <v>46100</v>
      </c>
      <c r="C557" s="20">
        <f t="shared" si="16"/>
        <v>46082</v>
      </c>
      <c r="D557" s="17" t="s">
        <v>594</v>
      </c>
      <c r="E557" s="17" t="s">
        <v>19</v>
      </c>
      <c r="F557" s="17" t="s">
        <v>30</v>
      </c>
      <c r="G557" s="21">
        <v>3</v>
      </c>
      <c r="H557" s="12">
        <v>132.69999999999999</v>
      </c>
      <c r="I557" s="22">
        <v>0.15</v>
      </c>
      <c r="J557" s="12">
        <f t="shared" si="17"/>
        <v>338.39</v>
      </c>
      <c r="K557" s="17" t="s">
        <v>43</v>
      </c>
    </row>
    <row r="558" spans="1:11" x14ac:dyDescent="0.25">
      <c r="A558" s="17" t="s">
        <v>855</v>
      </c>
      <c r="B558" s="19">
        <v>46100</v>
      </c>
      <c r="C558" s="20">
        <f t="shared" si="16"/>
        <v>46082</v>
      </c>
      <c r="D558" s="17" t="s">
        <v>703</v>
      </c>
      <c r="E558" s="17" t="s">
        <v>18</v>
      </c>
      <c r="F558" s="17" t="s">
        <v>31</v>
      </c>
      <c r="G558" s="21">
        <v>4</v>
      </c>
      <c r="H558" s="12">
        <v>147.79</v>
      </c>
      <c r="I558" s="22">
        <v>0.05</v>
      </c>
      <c r="J558" s="12">
        <f t="shared" si="17"/>
        <v>561.6</v>
      </c>
      <c r="K558" s="17" t="s">
        <v>48</v>
      </c>
    </row>
    <row r="559" spans="1:11" x14ac:dyDescent="0.25">
      <c r="A559" s="17" t="s">
        <v>856</v>
      </c>
      <c r="B559" s="19">
        <v>46100</v>
      </c>
      <c r="C559" s="20">
        <f t="shared" si="16"/>
        <v>46082</v>
      </c>
      <c r="D559" s="17" t="s">
        <v>857</v>
      </c>
      <c r="E559" s="17" t="s">
        <v>21</v>
      </c>
      <c r="F559" s="17" t="s">
        <v>31</v>
      </c>
      <c r="G559" s="21">
        <v>2</v>
      </c>
      <c r="H559" s="12">
        <v>79.8</v>
      </c>
      <c r="I559" s="22">
        <v>0</v>
      </c>
      <c r="J559" s="12">
        <f t="shared" si="17"/>
        <v>159.6</v>
      </c>
      <c r="K559" s="17" t="s">
        <v>48</v>
      </c>
    </row>
    <row r="560" spans="1:11" x14ac:dyDescent="0.25">
      <c r="A560" s="17" t="s">
        <v>858</v>
      </c>
      <c r="B560" s="19">
        <v>46100</v>
      </c>
      <c r="C560" s="20">
        <f t="shared" si="16"/>
        <v>46082</v>
      </c>
      <c r="D560" s="17" t="s">
        <v>859</v>
      </c>
      <c r="E560" s="17" t="s">
        <v>21</v>
      </c>
      <c r="F560" s="17" t="s">
        <v>31</v>
      </c>
      <c r="G560" s="21">
        <v>1</v>
      </c>
      <c r="H560" s="12">
        <v>78.760000000000005</v>
      </c>
      <c r="I560" s="22">
        <v>0.1</v>
      </c>
      <c r="J560" s="12">
        <f t="shared" si="17"/>
        <v>70.88</v>
      </c>
      <c r="K560" s="17" t="s">
        <v>48</v>
      </c>
    </row>
    <row r="561" spans="1:11" x14ac:dyDescent="0.25">
      <c r="A561" s="17" t="s">
        <v>860</v>
      </c>
      <c r="B561" s="19">
        <v>46100</v>
      </c>
      <c r="C561" s="20">
        <f t="shared" si="16"/>
        <v>46082</v>
      </c>
      <c r="D561" s="17" t="s">
        <v>179</v>
      </c>
      <c r="E561" s="17" t="s">
        <v>16</v>
      </c>
      <c r="F561" s="17" t="s">
        <v>31</v>
      </c>
      <c r="G561" s="21">
        <v>1</v>
      </c>
      <c r="H561" s="12">
        <v>249.8</v>
      </c>
      <c r="I561" s="22">
        <v>0.15</v>
      </c>
      <c r="J561" s="12">
        <f t="shared" si="17"/>
        <v>212.33</v>
      </c>
      <c r="K561" s="17" t="s">
        <v>48</v>
      </c>
    </row>
    <row r="562" spans="1:11" x14ac:dyDescent="0.25">
      <c r="A562" s="17" t="s">
        <v>861</v>
      </c>
      <c r="B562" s="19">
        <v>46100</v>
      </c>
      <c r="C562" s="20">
        <f t="shared" si="16"/>
        <v>46082</v>
      </c>
      <c r="D562" s="17" t="s">
        <v>221</v>
      </c>
      <c r="E562" s="17" t="s">
        <v>20</v>
      </c>
      <c r="F562" s="17" t="s">
        <v>31</v>
      </c>
      <c r="G562" s="21">
        <v>1</v>
      </c>
      <c r="H562" s="12">
        <v>90.57</v>
      </c>
      <c r="I562" s="22">
        <v>0.05</v>
      </c>
      <c r="J562" s="12">
        <f t="shared" si="17"/>
        <v>86.04</v>
      </c>
      <c r="K562" s="17" t="s">
        <v>48</v>
      </c>
    </row>
    <row r="563" spans="1:11" x14ac:dyDescent="0.25">
      <c r="A563" s="17" t="s">
        <v>862</v>
      </c>
      <c r="B563" s="19">
        <v>46101</v>
      </c>
      <c r="C563" s="20">
        <f t="shared" si="16"/>
        <v>46082</v>
      </c>
      <c r="D563" s="17" t="s">
        <v>233</v>
      </c>
      <c r="E563" s="17" t="s">
        <v>26</v>
      </c>
      <c r="F563" s="17" t="s">
        <v>30</v>
      </c>
      <c r="G563" s="21">
        <v>1</v>
      </c>
      <c r="H563" s="12">
        <v>23.85</v>
      </c>
      <c r="I563" s="22">
        <v>0.1</v>
      </c>
      <c r="J563" s="12">
        <f t="shared" si="17"/>
        <v>21.47</v>
      </c>
      <c r="K563" s="17" t="s">
        <v>59</v>
      </c>
    </row>
    <row r="564" spans="1:11" x14ac:dyDescent="0.25">
      <c r="A564" s="17" t="s">
        <v>863</v>
      </c>
      <c r="B564" s="19">
        <v>46101</v>
      </c>
      <c r="C564" s="20">
        <f t="shared" si="16"/>
        <v>46082</v>
      </c>
      <c r="D564" s="17" t="s">
        <v>239</v>
      </c>
      <c r="E564" s="17" t="s">
        <v>18</v>
      </c>
      <c r="F564" s="17" t="s">
        <v>30</v>
      </c>
      <c r="G564" s="21">
        <v>5</v>
      </c>
      <c r="H564" s="12">
        <v>149.88</v>
      </c>
      <c r="I564" s="22">
        <v>0</v>
      </c>
      <c r="J564" s="12">
        <f t="shared" si="17"/>
        <v>749.4</v>
      </c>
      <c r="K564" s="17" t="s">
        <v>43</v>
      </c>
    </row>
    <row r="565" spans="1:11" x14ac:dyDescent="0.25">
      <c r="A565" s="17" t="s">
        <v>864</v>
      </c>
      <c r="B565" s="19">
        <v>46101</v>
      </c>
      <c r="C565" s="20">
        <f t="shared" si="16"/>
        <v>46082</v>
      </c>
      <c r="D565" s="17" t="s">
        <v>318</v>
      </c>
      <c r="E565" s="17" t="s">
        <v>16</v>
      </c>
      <c r="F565" s="17" t="s">
        <v>30</v>
      </c>
      <c r="G565" s="21">
        <v>1</v>
      </c>
      <c r="H565" s="12">
        <v>246.6</v>
      </c>
      <c r="I565" s="22">
        <v>0.05</v>
      </c>
      <c r="J565" s="12">
        <f t="shared" si="17"/>
        <v>234.27</v>
      </c>
      <c r="K565" s="17" t="s">
        <v>43</v>
      </c>
    </row>
    <row r="566" spans="1:11" x14ac:dyDescent="0.25">
      <c r="A566" s="17" t="s">
        <v>865</v>
      </c>
      <c r="B566" s="19">
        <v>46101</v>
      </c>
      <c r="C566" s="20">
        <f t="shared" si="16"/>
        <v>46082</v>
      </c>
      <c r="D566" s="17" t="s">
        <v>818</v>
      </c>
      <c r="E566" s="17" t="s">
        <v>16</v>
      </c>
      <c r="F566" s="17" t="s">
        <v>31</v>
      </c>
      <c r="G566" s="21">
        <v>1</v>
      </c>
      <c r="H566" s="12">
        <v>252.81</v>
      </c>
      <c r="I566" s="22">
        <v>0.15</v>
      </c>
      <c r="J566" s="12">
        <f t="shared" si="17"/>
        <v>214.89</v>
      </c>
      <c r="K566" s="17" t="s">
        <v>48</v>
      </c>
    </row>
    <row r="567" spans="1:11" x14ac:dyDescent="0.25">
      <c r="A567" s="17" t="s">
        <v>866</v>
      </c>
      <c r="B567" s="19">
        <v>46101</v>
      </c>
      <c r="C567" s="20">
        <f t="shared" si="16"/>
        <v>46082</v>
      </c>
      <c r="D567" s="17" t="s">
        <v>631</v>
      </c>
      <c r="E567" s="17" t="s">
        <v>24</v>
      </c>
      <c r="F567" s="17" t="s">
        <v>31</v>
      </c>
      <c r="G567" s="21">
        <v>4</v>
      </c>
      <c r="H567" s="12">
        <v>35.86</v>
      </c>
      <c r="I567" s="22">
        <v>0.1</v>
      </c>
      <c r="J567" s="12">
        <f t="shared" si="17"/>
        <v>129.1</v>
      </c>
      <c r="K567" s="17" t="s">
        <v>48</v>
      </c>
    </row>
    <row r="568" spans="1:11" x14ac:dyDescent="0.25">
      <c r="A568" s="17" t="s">
        <v>867</v>
      </c>
      <c r="B568" s="19">
        <v>46101</v>
      </c>
      <c r="C568" s="20">
        <f t="shared" si="16"/>
        <v>46082</v>
      </c>
      <c r="D568" s="17" t="s">
        <v>868</v>
      </c>
      <c r="E568" s="17" t="s">
        <v>26</v>
      </c>
      <c r="F568" s="17" t="s">
        <v>31</v>
      </c>
      <c r="G568" s="21">
        <v>5</v>
      </c>
      <c r="H568" s="12">
        <v>24.88</v>
      </c>
      <c r="I568" s="22">
        <v>0.05</v>
      </c>
      <c r="J568" s="12">
        <f t="shared" si="17"/>
        <v>118.18</v>
      </c>
      <c r="K568" s="17" t="s">
        <v>48</v>
      </c>
    </row>
    <row r="569" spans="1:11" x14ac:dyDescent="0.25">
      <c r="A569" s="17" t="s">
        <v>869</v>
      </c>
      <c r="B569" s="19">
        <v>46102</v>
      </c>
      <c r="C569" s="20">
        <f t="shared" si="16"/>
        <v>46082</v>
      </c>
      <c r="D569" s="17" t="s">
        <v>492</v>
      </c>
      <c r="E569" s="17" t="s">
        <v>17</v>
      </c>
      <c r="F569" s="17" t="s">
        <v>30</v>
      </c>
      <c r="G569" s="21">
        <v>1</v>
      </c>
      <c r="H569" s="12">
        <v>216.24</v>
      </c>
      <c r="I569" s="22">
        <v>0</v>
      </c>
      <c r="J569" s="12">
        <f t="shared" si="17"/>
        <v>216.24</v>
      </c>
      <c r="K569" s="17" t="s">
        <v>59</v>
      </c>
    </row>
    <row r="570" spans="1:11" x14ac:dyDescent="0.25">
      <c r="A570" s="17" t="s">
        <v>870</v>
      </c>
      <c r="B570" s="19">
        <v>46102</v>
      </c>
      <c r="C570" s="20">
        <f t="shared" si="16"/>
        <v>46082</v>
      </c>
      <c r="D570" s="17" t="s">
        <v>148</v>
      </c>
      <c r="E570" s="17" t="s">
        <v>26</v>
      </c>
      <c r="F570" s="17" t="s">
        <v>30</v>
      </c>
      <c r="G570" s="21">
        <v>1</v>
      </c>
      <c r="H570" s="12">
        <v>23.79</v>
      </c>
      <c r="I570" s="22">
        <v>0.15</v>
      </c>
      <c r="J570" s="12">
        <f t="shared" si="17"/>
        <v>20.22</v>
      </c>
      <c r="K570" s="17" t="s">
        <v>59</v>
      </c>
    </row>
    <row r="571" spans="1:11" x14ac:dyDescent="0.25">
      <c r="A571" s="17" t="s">
        <v>871</v>
      </c>
      <c r="B571" s="19">
        <v>46102</v>
      </c>
      <c r="C571" s="20">
        <f t="shared" si="16"/>
        <v>46082</v>
      </c>
      <c r="D571" s="17" t="s">
        <v>765</v>
      </c>
      <c r="E571" s="17" t="s">
        <v>23</v>
      </c>
      <c r="F571" s="17" t="s">
        <v>30</v>
      </c>
      <c r="G571" s="21">
        <v>1</v>
      </c>
      <c r="H571" s="12">
        <v>57.55</v>
      </c>
      <c r="I571" s="22">
        <v>0.05</v>
      </c>
      <c r="J571" s="12">
        <f t="shared" si="17"/>
        <v>54.67</v>
      </c>
      <c r="K571" s="17" t="s">
        <v>43</v>
      </c>
    </row>
    <row r="572" spans="1:11" x14ac:dyDescent="0.25">
      <c r="A572" s="17" t="s">
        <v>872</v>
      </c>
      <c r="B572" s="19">
        <v>46102</v>
      </c>
      <c r="C572" s="20">
        <f t="shared" si="16"/>
        <v>46082</v>
      </c>
      <c r="D572" s="17" t="s">
        <v>78</v>
      </c>
      <c r="E572" s="17" t="s">
        <v>26</v>
      </c>
      <c r="F572" s="17" t="s">
        <v>30</v>
      </c>
      <c r="G572" s="21">
        <v>1</v>
      </c>
      <c r="H572" s="12">
        <v>24.39</v>
      </c>
      <c r="I572" s="22">
        <v>0</v>
      </c>
      <c r="J572" s="12">
        <f t="shared" si="17"/>
        <v>24.39</v>
      </c>
      <c r="K572" s="17" t="s">
        <v>43</v>
      </c>
    </row>
    <row r="573" spans="1:11" x14ac:dyDescent="0.25">
      <c r="A573" s="17" t="s">
        <v>873</v>
      </c>
      <c r="B573" s="19">
        <v>46102</v>
      </c>
      <c r="C573" s="20">
        <f t="shared" si="16"/>
        <v>46082</v>
      </c>
      <c r="D573" s="17" t="s">
        <v>225</v>
      </c>
      <c r="E573" s="17" t="s">
        <v>19</v>
      </c>
      <c r="F573" s="17" t="s">
        <v>30</v>
      </c>
      <c r="G573" s="21">
        <v>4</v>
      </c>
      <c r="H573" s="12">
        <v>126.96</v>
      </c>
      <c r="I573" s="22">
        <v>0</v>
      </c>
      <c r="J573" s="12">
        <f t="shared" si="17"/>
        <v>507.84</v>
      </c>
      <c r="K573" s="17" t="s">
        <v>43</v>
      </c>
    </row>
    <row r="574" spans="1:11" x14ac:dyDescent="0.25">
      <c r="A574" s="17" t="s">
        <v>874</v>
      </c>
      <c r="B574" s="19">
        <v>46102</v>
      </c>
      <c r="C574" s="20">
        <f t="shared" si="16"/>
        <v>46082</v>
      </c>
      <c r="D574" s="17" t="s">
        <v>875</v>
      </c>
      <c r="E574" s="17" t="s">
        <v>23</v>
      </c>
      <c r="F574" s="17" t="s">
        <v>30</v>
      </c>
      <c r="G574" s="21">
        <v>2</v>
      </c>
      <c r="H574" s="12">
        <v>57.26</v>
      </c>
      <c r="I574" s="22">
        <v>0.1</v>
      </c>
      <c r="J574" s="12">
        <f t="shared" si="17"/>
        <v>103.07</v>
      </c>
      <c r="K574" s="17" t="s">
        <v>43</v>
      </c>
    </row>
    <row r="575" spans="1:11" x14ac:dyDescent="0.25">
      <c r="A575" s="17" t="s">
        <v>876</v>
      </c>
      <c r="B575" s="19">
        <v>46102</v>
      </c>
      <c r="C575" s="20">
        <f t="shared" si="16"/>
        <v>46082</v>
      </c>
      <c r="D575" s="17" t="s">
        <v>868</v>
      </c>
      <c r="E575" s="17" t="s">
        <v>20</v>
      </c>
      <c r="F575" s="17" t="s">
        <v>31</v>
      </c>
      <c r="G575" s="21">
        <v>5</v>
      </c>
      <c r="H575" s="12">
        <v>88.53</v>
      </c>
      <c r="I575" s="22">
        <v>0.1</v>
      </c>
      <c r="J575" s="12">
        <f t="shared" si="17"/>
        <v>398.39</v>
      </c>
      <c r="K575" s="17" t="s">
        <v>48</v>
      </c>
    </row>
    <row r="576" spans="1:11" x14ac:dyDescent="0.25">
      <c r="A576" s="17" t="s">
        <v>877</v>
      </c>
      <c r="B576" s="19">
        <v>46102</v>
      </c>
      <c r="C576" s="20">
        <f t="shared" si="16"/>
        <v>46082</v>
      </c>
      <c r="D576" s="17" t="s">
        <v>878</v>
      </c>
      <c r="E576" s="17" t="s">
        <v>21</v>
      </c>
      <c r="F576" s="17" t="s">
        <v>31</v>
      </c>
      <c r="G576" s="21">
        <v>1</v>
      </c>
      <c r="H576" s="12">
        <v>80.91</v>
      </c>
      <c r="I576" s="22">
        <v>0</v>
      </c>
      <c r="J576" s="12">
        <f t="shared" si="17"/>
        <v>80.91</v>
      </c>
      <c r="K576" s="17" t="s">
        <v>48</v>
      </c>
    </row>
    <row r="577" spans="1:11" x14ac:dyDescent="0.25">
      <c r="A577" s="17" t="s">
        <v>879</v>
      </c>
      <c r="B577" s="19">
        <v>46102</v>
      </c>
      <c r="C577" s="20">
        <f t="shared" si="16"/>
        <v>46082</v>
      </c>
      <c r="D577" s="17" t="s">
        <v>880</v>
      </c>
      <c r="E577" s="17" t="s">
        <v>26</v>
      </c>
      <c r="F577" s="17" t="s">
        <v>31</v>
      </c>
      <c r="G577" s="21">
        <v>5</v>
      </c>
      <c r="H577" s="12">
        <v>23.84</v>
      </c>
      <c r="I577" s="22">
        <v>0.15</v>
      </c>
      <c r="J577" s="12">
        <f t="shared" si="17"/>
        <v>101.32</v>
      </c>
      <c r="K577" s="17" t="s">
        <v>48</v>
      </c>
    </row>
    <row r="578" spans="1:11" x14ac:dyDescent="0.25">
      <c r="A578" s="17" t="s">
        <v>881</v>
      </c>
      <c r="B578" s="19">
        <v>46102</v>
      </c>
      <c r="C578" s="20">
        <f t="shared" ref="C578:C641" si="18">DATE(YEAR(B578),MONTH(B578),1)</f>
        <v>46082</v>
      </c>
      <c r="D578" s="17" t="s">
        <v>882</v>
      </c>
      <c r="E578" s="17" t="s">
        <v>23</v>
      </c>
      <c r="F578" s="17" t="s">
        <v>31</v>
      </c>
      <c r="G578" s="21">
        <v>3</v>
      </c>
      <c r="H578" s="12">
        <v>60.72</v>
      </c>
      <c r="I578" s="22">
        <v>0</v>
      </c>
      <c r="J578" s="12">
        <f t="shared" ref="J578:J641" si="19">ROUND(G578*H578*(1-I578),2)</f>
        <v>182.16</v>
      </c>
      <c r="K578" s="17" t="s">
        <v>48</v>
      </c>
    </row>
    <row r="579" spans="1:11" x14ac:dyDescent="0.25">
      <c r="A579" s="17" t="s">
        <v>883</v>
      </c>
      <c r="B579" s="19">
        <v>46103</v>
      </c>
      <c r="C579" s="20">
        <f t="shared" si="18"/>
        <v>46082</v>
      </c>
      <c r="D579" s="17" t="s">
        <v>431</v>
      </c>
      <c r="E579" s="17" t="s">
        <v>26</v>
      </c>
      <c r="F579" s="17" t="s">
        <v>30</v>
      </c>
      <c r="G579" s="21">
        <v>1</v>
      </c>
      <c r="H579" s="12">
        <v>24.87</v>
      </c>
      <c r="I579" s="22">
        <v>0.05</v>
      </c>
      <c r="J579" s="12">
        <f t="shared" si="19"/>
        <v>23.63</v>
      </c>
      <c r="K579" s="17" t="s">
        <v>59</v>
      </c>
    </row>
    <row r="580" spans="1:11" x14ac:dyDescent="0.25">
      <c r="A580" s="17" t="s">
        <v>884</v>
      </c>
      <c r="B580" s="19">
        <v>46103</v>
      </c>
      <c r="C580" s="20">
        <f t="shared" si="18"/>
        <v>46082</v>
      </c>
      <c r="D580" s="17" t="s">
        <v>487</v>
      </c>
      <c r="E580" s="17" t="s">
        <v>20</v>
      </c>
      <c r="F580" s="17" t="s">
        <v>30</v>
      </c>
      <c r="G580" s="21">
        <v>2</v>
      </c>
      <c r="H580" s="12">
        <v>88.56</v>
      </c>
      <c r="I580" s="22">
        <v>0</v>
      </c>
      <c r="J580" s="12">
        <f t="shared" si="19"/>
        <v>177.12</v>
      </c>
      <c r="K580" s="17" t="s">
        <v>59</v>
      </c>
    </row>
    <row r="581" spans="1:11" x14ac:dyDescent="0.25">
      <c r="A581" s="17" t="s">
        <v>885</v>
      </c>
      <c r="B581" s="19">
        <v>46103</v>
      </c>
      <c r="C581" s="20">
        <f t="shared" si="18"/>
        <v>46082</v>
      </c>
      <c r="D581" s="17" t="s">
        <v>153</v>
      </c>
      <c r="E581" s="17" t="s">
        <v>25</v>
      </c>
      <c r="F581" s="17" t="s">
        <v>30</v>
      </c>
      <c r="G581" s="21">
        <v>3</v>
      </c>
      <c r="H581" s="12">
        <v>29.32</v>
      </c>
      <c r="I581" s="22">
        <v>0</v>
      </c>
      <c r="J581" s="12">
        <f t="shared" si="19"/>
        <v>87.96</v>
      </c>
      <c r="K581" s="17" t="s">
        <v>43</v>
      </c>
    </row>
    <row r="582" spans="1:11" x14ac:dyDescent="0.25">
      <c r="A582" s="17" t="s">
        <v>886</v>
      </c>
      <c r="B582" s="19">
        <v>46103</v>
      </c>
      <c r="C582" s="20">
        <f t="shared" si="18"/>
        <v>46082</v>
      </c>
      <c r="D582" s="17" t="s">
        <v>776</v>
      </c>
      <c r="E582" s="17" t="s">
        <v>25</v>
      </c>
      <c r="F582" s="17" t="s">
        <v>30</v>
      </c>
      <c r="G582" s="21">
        <v>1</v>
      </c>
      <c r="H582" s="12">
        <v>30.23</v>
      </c>
      <c r="I582" s="22">
        <v>0</v>
      </c>
      <c r="J582" s="12">
        <f t="shared" si="19"/>
        <v>30.23</v>
      </c>
      <c r="K582" s="17" t="s">
        <v>43</v>
      </c>
    </row>
    <row r="583" spans="1:11" x14ac:dyDescent="0.25">
      <c r="A583" s="17" t="s">
        <v>887</v>
      </c>
      <c r="B583" s="19">
        <v>46103</v>
      </c>
      <c r="C583" s="20">
        <f t="shared" si="18"/>
        <v>46082</v>
      </c>
      <c r="D583" s="17" t="s">
        <v>813</v>
      </c>
      <c r="E583" s="17" t="s">
        <v>26</v>
      </c>
      <c r="F583" s="17" t="s">
        <v>31</v>
      </c>
      <c r="G583" s="21">
        <v>4</v>
      </c>
      <c r="H583" s="12">
        <v>24.77</v>
      </c>
      <c r="I583" s="22">
        <v>0</v>
      </c>
      <c r="J583" s="12">
        <f t="shared" si="19"/>
        <v>99.08</v>
      </c>
      <c r="K583" s="17" t="s">
        <v>48</v>
      </c>
    </row>
    <row r="584" spans="1:11" x14ac:dyDescent="0.25">
      <c r="A584" s="17" t="s">
        <v>888</v>
      </c>
      <c r="B584" s="19">
        <v>46103</v>
      </c>
      <c r="C584" s="20">
        <f t="shared" si="18"/>
        <v>46082</v>
      </c>
      <c r="D584" s="17" t="s">
        <v>889</v>
      </c>
      <c r="E584" s="17" t="s">
        <v>25</v>
      </c>
      <c r="F584" s="17" t="s">
        <v>31</v>
      </c>
      <c r="G584" s="21">
        <v>5</v>
      </c>
      <c r="H584" s="12">
        <v>30.75</v>
      </c>
      <c r="I584" s="22">
        <v>0</v>
      </c>
      <c r="J584" s="12">
        <f t="shared" si="19"/>
        <v>153.75</v>
      </c>
      <c r="K584" s="17" t="s">
        <v>48</v>
      </c>
    </row>
    <row r="585" spans="1:11" x14ac:dyDescent="0.25">
      <c r="A585" s="17" t="s">
        <v>890</v>
      </c>
      <c r="B585" s="19">
        <v>46103</v>
      </c>
      <c r="C585" s="20">
        <f t="shared" si="18"/>
        <v>46082</v>
      </c>
      <c r="D585" s="17" t="s">
        <v>793</v>
      </c>
      <c r="E585" s="17" t="s">
        <v>24</v>
      </c>
      <c r="F585" s="17" t="s">
        <v>31</v>
      </c>
      <c r="G585" s="21">
        <v>5</v>
      </c>
      <c r="H585" s="12">
        <v>35.85</v>
      </c>
      <c r="I585" s="22">
        <v>0</v>
      </c>
      <c r="J585" s="12">
        <f t="shared" si="19"/>
        <v>179.25</v>
      </c>
      <c r="K585" s="17" t="s">
        <v>48</v>
      </c>
    </row>
    <row r="586" spans="1:11" x14ac:dyDescent="0.25">
      <c r="A586" s="17" t="s">
        <v>891</v>
      </c>
      <c r="B586" s="19">
        <v>46104</v>
      </c>
      <c r="C586" s="20">
        <f t="shared" si="18"/>
        <v>46082</v>
      </c>
      <c r="D586" s="17" t="s">
        <v>892</v>
      </c>
      <c r="E586" s="17" t="s">
        <v>22</v>
      </c>
      <c r="F586" s="17" t="s">
        <v>30</v>
      </c>
      <c r="G586" s="21">
        <v>1</v>
      </c>
      <c r="H586" s="12">
        <v>98.74</v>
      </c>
      <c r="I586" s="22">
        <v>0.15</v>
      </c>
      <c r="J586" s="12">
        <f t="shared" si="19"/>
        <v>83.93</v>
      </c>
      <c r="K586" s="17" t="s">
        <v>59</v>
      </c>
    </row>
    <row r="587" spans="1:11" x14ac:dyDescent="0.25">
      <c r="A587" s="17" t="s">
        <v>893</v>
      </c>
      <c r="B587" s="19">
        <v>46104</v>
      </c>
      <c r="C587" s="20">
        <f t="shared" si="18"/>
        <v>46082</v>
      </c>
      <c r="D587" s="17" t="s">
        <v>146</v>
      </c>
      <c r="E587" s="17" t="s">
        <v>17</v>
      </c>
      <c r="F587" s="17" t="s">
        <v>30</v>
      </c>
      <c r="G587" s="21">
        <v>1</v>
      </c>
      <c r="H587" s="12">
        <v>222.73</v>
      </c>
      <c r="I587" s="22">
        <v>0</v>
      </c>
      <c r="J587" s="12">
        <f t="shared" si="19"/>
        <v>222.73</v>
      </c>
      <c r="K587" s="17" t="s">
        <v>59</v>
      </c>
    </row>
    <row r="588" spans="1:11" x14ac:dyDescent="0.25">
      <c r="A588" s="17" t="s">
        <v>894</v>
      </c>
      <c r="B588" s="19">
        <v>46104</v>
      </c>
      <c r="C588" s="20">
        <f t="shared" si="18"/>
        <v>46082</v>
      </c>
      <c r="D588" s="17" t="s">
        <v>106</v>
      </c>
      <c r="E588" s="17" t="s">
        <v>24</v>
      </c>
      <c r="F588" s="17" t="s">
        <v>30</v>
      </c>
      <c r="G588" s="21">
        <v>4</v>
      </c>
      <c r="H588" s="12">
        <v>34.32</v>
      </c>
      <c r="I588" s="22">
        <v>0</v>
      </c>
      <c r="J588" s="12">
        <f t="shared" si="19"/>
        <v>137.28</v>
      </c>
      <c r="K588" s="17" t="s">
        <v>59</v>
      </c>
    </row>
    <row r="589" spans="1:11" x14ac:dyDescent="0.25">
      <c r="A589" s="17" t="s">
        <v>895</v>
      </c>
      <c r="B589" s="19">
        <v>46104</v>
      </c>
      <c r="C589" s="20">
        <f t="shared" si="18"/>
        <v>46082</v>
      </c>
      <c r="D589" s="17" t="s">
        <v>185</v>
      </c>
      <c r="E589" s="17" t="s">
        <v>23</v>
      </c>
      <c r="F589" s="17" t="s">
        <v>30</v>
      </c>
      <c r="G589" s="21">
        <v>2</v>
      </c>
      <c r="H589" s="12">
        <v>58.02</v>
      </c>
      <c r="I589" s="22">
        <v>0.15</v>
      </c>
      <c r="J589" s="12">
        <f t="shared" si="19"/>
        <v>98.63</v>
      </c>
      <c r="K589" s="17" t="s">
        <v>43</v>
      </c>
    </row>
    <row r="590" spans="1:11" x14ac:dyDescent="0.25">
      <c r="A590" s="17" t="s">
        <v>896</v>
      </c>
      <c r="B590" s="19">
        <v>46104</v>
      </c>
      <c r="C590" s="20">
        <f t="shared" si="18"/>
        <v>46082</v>
      </c>
      <c r="D590" s="17" t="s">
        <v>181</v>
      </c>
      <c r="E590" s="17" t="s">
        <v>23</v>
      </c>
      <c r="F590" s="17" t="s">
        <v>30</v>
      </c>
      <c r="G590" s="21">
        <v>2</v>
      </c>
      <c r="H590" s="12">
        <v>60.72</v>
      </c>
      <c r="I590" s="22">
        <v>0</v>
      </c>
      <c r="J590" s="12">
        <f t="shared" si="19"/>
        <v>121.44</v>
      </c>
      <c r="K590" s="17" t="s">
        <v>43</v>
      </c>
    </row>
    <row r="591" spans="1:11" x14ac:dyDescent="0.25">
      <c r="A591" s="17" t="s">
        <v>897</v>
      </c>
      <c r="B591" s="19">
        <v>46104</v>
      </c>
      <c r="C591" s="20">
        <f t="shared" si="18"/>
        <v>46082</v>
      </c>
      <c r="D591" s="17" t="s">
        <v>225</v>
      </c>
      <c r="E591" s="17" t="s">
        <v>20</v>
      </c>
      <c r="F591" s="17" t="s">
        <v>31</v>
      </c>
      <c r="G591" s="21">
        <v>4</v>
      </c>
      <c r="H591" s="12">
        <v>87.81</v>
      </c>
      <c r="I591" s="22">
        <v>0</v>
      </c>
      <c r="J591" s="12">
        <f t="shared" si="19"/>
        <v>351.24</v>
      </c>
      <c r="K591" s="17" t="s">
        <v>48</v>
      </c>
    </row>
    <row r="592" spans="1:11" x14ac:dyDescent="0.25">
      <c r="A592" s="17" t="s">
        <v>898</v>
      </c>
      <c r="B592" s="19">
        <v>46104</v>
      </c>
      <c r="C592" s="20">
        <f t="shared" si="18"/>
        <v>46082</v>
      </c>
      <c r="D592" s="17" t="s">
        <v>131</v>
      </c>
      <c r="E592" s="17" t="s">
        <v>16</v>
      </c>
      <c r="F592" s="17" t="s">
        <v>31</v>
      </c>
      <c r="G592" s="21">
        <v>1</v>
      </c>
      <c r="H592" s="12">
        <v>250.37</v>
      </c>
      <c r="I592" s="22">
        <v>0.1</v>
      </c>
      <c r="J592" s="12">
        <f t="shared" si="19"/>
        <v>225.33</v>
      </c>
      <c r="K592" s="17" t="s">
        <v>48</v>
      </c>
    </row>
    <row r="593" spans="1:11" x14ac:dyDescent="0.25">
      <c r="A593" s="17" t="s">
        <v>899</v>
      </c>
      <c r="B593" s="19">
        <v>46104</v>
      </c>
      <c r="C593" s="20">
        <f t="shared" si="18"/>
        <v>46082</v>
      </c>
      <c r="D593" s="17" t="s">
        <v>283</v>
      </c>
      <c r="E593" s="17" t="s">
        <v>27</v>
      </c>
      <c r="F593" s="17" t="s">
        <v>31</v>
      </c>
      <c r="G593" s="21">
        <v>1</v>
      </c>
      <c r="H593" s="12">
        <v>12.7</v>
      </c>
      <c r="I593" s="22">
        <v>0</v>
      </c>
      <c r="J593" s="12">
        <f t="shared" si="19"/>
        <v>12.7</v>
      </c>
      <c r="K593" s="17" t="s">
        <v>48</v>
      </c>
    </row>
    <row r="594" spans="1:11" x14ac:dyDescent="0.25">
      <c r="A594" s="17" t="s">
        <v>900</v>
      </c>
      <c r="B594" s="19">
        <v>46105</v>
      </c>
      <c r="C594" s="20">
        <f t="shared" si="18"/>
        <v>46082</v>
      </c>
      <c r="D594" s="17" t="s">
        <v>443</v>
      </c>
      <c r="E594" s="17" t="s">
        <v>19</v>
      </c>
      <c r="F594" s="17" t="s">
        <v>30</v>
      </c>
      <c r="G594" s="21">
        <v>2</v>
      </c>
      <c r="H594" s="12">
        <v>126.82</v>
      </c>
      <c r="I594" s="22">
        <v>0</v>
      </c>
      <c r="J594" s="12">
        <f t="shared" si="19"/>
        <v>253.64</v>
      </c>
      <c r="K594" s="17" t="s">
        <v>59</v>
      </c>
    </row>
    <row r="595" spans="1:11" x14ac:dyDescent="0.25">
      <c r="A595" s="17" t="s">
        <v>901</v>
      </c>
      <c r="B595" s="19">
        <v>46105</v>
      </c>
      <c r="C595" s="20">
        <f t="shared" si="18"/>
        <v>46082</v>
      </c>
      <c r="D595" s="17" t="s">
        <v>63</v>
      </c>
      <c r="E595" s="17" t="s">
        <v>17</v>
      </c>
      <c r="F595" s="17" t="s">
        <v>30</v>
      </c>
      <c r="G595" s="21">
        <v>1</v>
      </c>
      <c r="H595" s="12">
        <v>220.73</v>
      </c>
      <c r="I595" s="22">
        <v>0</v>
      </c>
      <c r="J595" s="12">
        <f t="shared" si="19"/>
        <v>220.73</v>
      </c>
      <c r="K595" s="17" t="s">
        <v>59</v>
      </c>
    </row>
    <row r="596" spans="1:11" x14ac:dyDescent="0.25">
      <c r="A596" s="17" t="s">
        <v>902</v>
      </c>
      <c r="B596" s="19">
        <v>46105</v>
      </c>
      <c r="C596" s="20">
        <f t="shared" si="18"/>
        <v>46082</v>
      </c>
      <c r="D596" s="17" t="s">
        <v>199</v>
      </c>
      <c r="E596" s="17" t="s">
        <v>20</v>
      </c>
      <c r="F596" s="17" t="s">
        <v>30</v>
      </c>
      <c r="G596" s="21">
        <v>1</v>
      </c>
      <c r="H596" s="12">
        <v>87.69</v>
      </c>
      <c r="I596" s="22">
        <v>0.05</v>
      </c>
      <c r="J596" s="12">
        <f t="shared" si="19"/>
        <v>83.31</v>
      </c>
      <c r="K596" s="17" t="s">
        <v>59</v>
      </c>
    </row>
    <row r="597" spans="1:11" x14ac:dyDescent="0.25">
      <c r="A597" s="17" t="s">
        <v>903</v>
      </c>
      <c r="B597" s="19">
        <v>46105</v>
      </c>
      <c r="C597" s="20">
        <f t="shared" si="18"/>
        <v>46082</v>
      </c>
      <c r="D597" s="17" t="s">
        <v>265</v>
      </c>
      <c r="E597" s="17" t="s">
        <v>23</v>
      </c>
      <c r="F597" s="17" t="s">
        <v>30</v>
      </c>
      <c r="G597" s="21">
        <v>1</v>
      </c>
      <c r="H597" s="12">
        <v>57.74</v>
      </c>
      <c r="I597" s="22">
        <v>0.15</v>
      </c>
      <c r="J597" s="12">
        <f t="shared" si="19"/>
        <v>49.08</v>
      </c>
      <c r="K597" s="17" t="s">
        <v>43</v>
      </c>
    </row>
    <row r="598" spans="1:11" x14ac:dyDescent="0.25">
      <c r="A598" s="17" t="s">
        <v>904</v>
      </c>
      <c r="B598" s="19">
        <v>46105</v>
      </c>
      <c r="C598" s="20">
        <f t="shared" si="18"/>
        <v>46082</v>
      </c>
      <c r="D598" s="17" t="s">
        <v>882</v>
      </c>
      <c r="E598" s="17" t="s">
        <v>27</v>
      </c>
      <c r="F598" s="17" t="s">
        <v>30</v>
      </c>
      <c r="G598" s="21">
        <v>2</v>
      </c>
      <c r="H598" s="12">
        <v>13.34</v>
      </c>
      <c r="I598" s="22">
        <v>0.15</v>
      </c>
      <c r="J598" s="12">
        <f t="shared" si="19"/>
        <v>22.68</v>
      </c>
      <c r="K598" s="17" t="s">
        <v>43</v>
      </c>
    </row>
    <row r="599" spans="1:11" x14ac:dyDescent="0.25">
      <c r="A599" s="17" t="s">
        <v>905</v>
      </c>
      <c r="B599" s="19">
        <v>46105</v>
      </c>
      <c r="C599" s="20">
        <f t="shared" si="18"/>
        <v>46082</v>
      </c>
      <c r="D599" s="17" t="s">
        <v>751</v>
      </c>
      <c r="E599" s="17" t="s">
        <v>23</v>
      </c>
      <c r="F599" s="17" t="s">
        <v>30</v>
      </c>
      <c r="G599" s="21">
        <v>1</v>
      </c>
      <c r="H599" s="12">
        <v>57.45</v>
      </c>
      <c r="I599" s="22">
        <v>0</v>
      </c>
      <c r="J599" s="12">
        <f t="shared" si="19"/>
        <v>57.45</v>
      </c>
      <c r="K599" s="17" t="s">
        <v>43</v>
      </c>
    </row>
    <row r="600" spans="1:11" x14ac:dyDescent="0.25">
      <c r="A600" s="17" t="s">
        <v>906</v>
      </c>
      <c r="B600" s="19">
        <v>46105</v>
      </c>
      <c r="C600" s="20">
        <f t="shared" si="18"/>
        <v>46082</v>
      </c>
      <c r="D600" s="17" t="s">
        <v>907</v>
      </c>
      <c r="E600" s="17" t="s">
        <v>24</v>
      </c>
      <c r="F600" s="17" t="s">
        <v>31</v>
      </c>
      <c r="G600" s="21">
        <v>5</v>
      </c>
      <c r="H600" s="12">
        <v>35.630000000000003</v>
      </c>
      <c r="I600" s="22">
        <v>0.1</v>
      </c>
      <c r="J600" s="12">
        <f t="shared" si="19"/>
        <v>160.34</v>
      </c>
      <c r="K600" s="17" t="s">
        <v>48</v>
      </c>
    </row>
    <row r="601" spans="1:11" x14ac:dyDescent="0.25">
      <c r="A601" s="17" t="s">
        <v>908</v>
      </c>
      <c r="B601" s="19">
        <v>46105</v>
      </c>
      <c r="C601" s="20">
        <f t="shared" si="18"/>
        <v>46082</v>
      </c>
      <c r="D601" s="17" t="s">
        <v>651</v>
      </c>
      <c r="E601" s="17" t="s">
        <v>19</v>
      </c>
      <c r="F601" s="17" t="s">
        <v>31</v>
      </c>
      <c r="G601" s="21">
        <v>4</v>
      </c>
      <c r="H601" s="12">
        <v>127.99</v>
      </c>
      <c r="I601" s="22">
        <v>0</v>
      </c>
      <c r="J601" s="12">
        <f t="shared" si="19"/>
        <v>511.96</v>
      </c>
      <c r="K601" s="17" t="s">
        <v>48</v>
      </c>
    </row>
    <row r="602" spans="1:11" x14ac:dyDescent="0.25">
      <c r="A602" s="17" t="s">
        <v>909</v>
      </c>
      <c r="B602" s="19">
        <v>46105</v>
      </c>
      <c r="C602" s="20">
        <f t="shared" si="18"/>
        <v>46082</v>
      </c>
      <c r="D602" s="17" t="s">
        <v>342</v>
      </c>
      <c r="E602" s="17" t="s">
        <v>23</v>
      </c>
      <c r="F602" s="17" t="s">
        <v>31</v>
      </c>
      <c r="G602" s="21">
        <v>1</v>
      </c>
      <c r="H602" s="12">
        <v>57.76</v>
      </c>
      <c r="I602" s="22">
        <v>0</v>
      </c>
      <c r="J602" s="12">
        <f t="shared" si="19"/>
        <v>57.76</v>
      </c>
      <c r="K602" s="17" t="s">
        <v>48</v>
      </c>
    </row>
    <row r="603" spans="1:11" x14ac:dyDescent="0.25">
      <c r="A603" s="17" t="s">
        <v>910</v>
      </c>
      <c r="B603" s="19">
        <v>46106</v>
      </c>
      <c r="C603" s="20">
        <f t="shared" si="18"/>
        <v>46082</v>
      </c>
      <c r="D603" s="17" t="s">
        <v>911</v>
      </c>
      <c r="E603" s="17" t="s">
        <v>21</v>
      </c>
      <c r="F603" s="17" t="s">
        <v>30</v>
      </c>
      <c r="G603" s="21">
        <v>2</v>
      </c>
      <c r="H603" s="12">
        <v>79.91</v>
      </c>
      <c r="I603" s="22">
        <v>0.05</v>
      </c>
      <c r="J603" s="12">
        <f t="shared" si="19"/>
        <v>151.83000000000001</v>
      </c>
      <c r="K603" s="17" t="s">
        <v>59</v>
      </c>
    </row>
    <row r="604" spans="1:11" x14ac:dyDescent="0.25">
      <c r="A604" s="17" t="s">
        <v>912</v>
      </c>
      <c r="B604" s="19">
        <v>46106</v>
      </c>
      <c r="C604" s="20">
        <f t="shared" si="18"/>
        <v>46082</v>
      </c>
      <c r="D604" s="17" t="s">
        <v>190</v>
      </c>
      <c r="E604" s="17" t="s">
        <v>17</v>
      </c>
      <c r="F604" s="17" t="s">
        <v>30</v>
      </c>
      <c r="G604" s="21">
        <v>2</v>
      </c>
      <c r="H604" s="12">
        <v>225.47</v>
      </c>
      <c r="I604" s="22">
        <v>0.1</v>
      </c>
      <c r="J604" s="12">
        <f t="shared" si="19"/>
        <v>405.85</v>
      </c>
      <c r="K604" s="17" t="s">
        <v>59</v>
      </c>
    </row>
    <row r="605" spans="1:11" x14ac:dyDescent="0.25">
      <c r="A605" s="17" t="s">
        <v>913</v>
      </c>
      <c r="B605" s="19">
        <v>46106</v>
      </c>
      <c r="C605" s="20">
        <f t="shared" si="18"/>
        <v>46082</v>
      </c>
      <c r="D605" s="17" t="s">
        <v>297</v>
      </c>
      <c r="E605" s="17" t="s">
        <v>27</v>
      </c>
      <c r="F605" s="17" t="s">
        <v>30</v>
      </c>
      <c r="G605" s="21">
        <v>3</v>
      </c>
      <c r="H605" s="12">
        <v>12.79</v>
      </c>
      <c r="I605" s="22">
        <v>0.05</v>
      </c>
      <c r="J605" s="12">
        <f t="shared" si="19"/>
        <v>36.450000000000003</v>
      </c>
      <c r="K605" s="17" t="s">
        <v>59</v>
      </c>
    </row>
    <row r="606" spans="1:11" x14ac:dyDescent="0.25">
      <c r="A606" s="17" t="s">
        <v>914</v>
      </c>
      <c r="B606" s="19">
        <v>46106</v>
      </c>
      <c r="C606" s="20">
        <f t="shared" si="18"/>
        <v>46082</v>
      </c>
      <c r="D606" s="17" t="s">
        <v>100</v>
      </c>
      <c r="E606" s="17" t="s">
        <v>16</v>
      </c>
      <c r="F606" s="17" t="s">
        <v>30</v>
      </c>
      <c r="G606" s="21">
        <v>1</v>
      </c>
      <c r="H606" s="12">
        <v>254.59</v>
      </c>
      <c r="I606" s="22">
        <v>0.05</v>
      </c>
      <c r="J606" s="12">
        <f t="shared" si="19"/>
        <v>241.86</v>
      </c>
      <c r="K606" s="17" t="s">
        <v>43</v>
      </c>
    </row>
    <row r="607" spans="1:11" x14ac:dyDescent="0.25">
      <c r="A607" s="17" t="s">
        <v>915</v>
      </c>
      <c r="B607" s="19">
        <v>46106</v>
      </c>
      <c r="C607" s="20">
        <f t="shared" si="18"/>
        <v>46082</v>
      </c>
      <c r="D607" s="17" t="s">
        <v>916</v>
      </c>
      <c r="E607" s="17" t="s">
        <v>25</v>
      </c>
      <c r="F607" s="17" t="s">
        <v>31</v>
      </c>
      <c r="G607" s="21">
        <v>3</v>
      </c>
      <c r="H607" s="12">
        <v>30</v>
      </c>
      <c r="I607" s="22">
        <v>0</v>
      </c>
      <c r="J607" s="12">
        <f t="shared" si="19"/>
        <v>90</v>
      </c>
      <c r="K607" s="17" t="s">
        <v>48</v>
      </c>
    </row>
    <row r="608" spans="1:11" x14ac:dyDescent="0.25">
      <c r="A608" s="17" t="s">
        <v>917</v>
      </c>
      <c r="B608" s="19">
        <v>46106</v>
      </c>
      <c r="C608" s="20">
        <f t="shared" si="18"/>
        <v>46082</v>
      </c>
      <c r="D608" s="17" t="s">
        <v>918</v>
      </c>
      <c r="E608" s="17" t="s">
        <v>24</v>
      </c>
      <c r="F608" s="17" t="s">
        <v>31</v>
      </c>
      <c r="G608" s="21">
        <v>2</v>
      </c>
      <c r="H608" s="12">
        <v>35.86</v>
      </c>
      <c r="I608" s="22">
        <v>0.1</v>
      </c>
      <c r="J608" s="12">
        <f t="shared" si="19"/>
        <v>64.55</v>
      </c>
      <c r="K608" s="17" t="s">
        <v>48</v>
      </c>
    </row>
    <row r="609" spans="1:11" x14ac:dyDescent="0.25">
      <c r="A609" s="17" t="s">
        <v>919</v>
      </c>
      <c r="B609" s="19">
        <v>46106</v>
      </c>
      <c r="C609" s="20">
        <f t="shared" si="18"/>
        <v>46082</v>
      </c>
      <c r="D609" s="17" t="s">
        <v>920</v>
      </c>
      <c r="E609" s="17" t="s">
        <v>26</v>
      </c>
      <c r="F609" s="17" t="s">
        <v>31</v>
      </c>
      <c r="G609" s="21">
        <v>2</v>
      </c>
      <c r="H609" s="12">
        <v>24.37</v>
      </c>
      <c r="I609" s="22">
        <v>0.1</v>
      </c>
      <c r="J609" s="12">
        <f t="shared" si="19"/>
        <v>43.87</v>
      </c>
      <c r="K609" s="17" t="s">
        <v>48</v>
      </c>
    </row>
    <row r="610" spans="1:11" x14ac:dyDescent="0.25">
      <c r="A610" s="17" t="s">
        <v>921</v>
      </c>
      <c r="B610" s="19">
        <v>46106</v>
      </c>
      <c r="C610" s="20">
        <f t="shared" si="18"/>
        <v>46082</v>
      </c>
      <c r="D610" s="17" t="s">
        <v>455</v>
      </c>
      <c r="E610" s="17" t="s">
        <v>18</v>
      </c>
      <c r="F610" s="17" t="s">
        <v>31</v>
      </c>
      <c r="G610" s="21">
        <v>2</v>
      </c>
      <c r="H610" s="12">
        <v>149.37</v>
      </c>
      <c r="I610" s="22">
        <v>0</v>
      </c>
      <c r="J610" s="12">
        <f t="shared" si="19"/>
        <v>298.74</v>
      </c>
      <c r="K610" s="17" t="s">
        <v>48</v>
      </c>
    </row>
    <row r="611" spans="1:11" x14ac:dyDescent="0.25">
      <c r="A611" s="17" t="s">
        <v>922</v>
      </c>
      <c r="B611" s="19">
        <v>46106</v>
      </c>
      <c r="C611" s="20">
        <f t="shared" si="18"/>
        <v>46082</v>
      </c>
      <c r="D611" s="17" t="s">
        <v>776</v>
      </c>
      <c r="E611" s="17" t="s">
        <v>17</v>
      </c>
      <c r="F611" s="17" t="s">
        <v>31</v>
      </c>
      <c r="G611" s="21">
        <v>2</v>
      </c>
      <c r="H611" s="12">
        <v>217.16</v>
      </c>
      <c r="I611" s="22">
        <v>0</v>
      </c>
      <c r="J611" s="12">
        <f t="shared" si="19"/>
        <v>434.32</v>
      </c>
      <c r="K611" s="17" t="s">
        <v>48</v>
      </c>
    </row>
    <row r="612" spans="1:11" x14ac:dyDescent="0.25">
      <c r="A612" s="17" t="s">
        <v>923</v>
      </c>
      <c r="B612" s="19">
        <v>46107</v>
      </c>
      <c r="C612" s="20">
        <f t="shared" si="18"/>
        <v>46082</v>
      </c>
      <c r="D612" s="17" t="s">
        <v>924</v>
      </c>
      <c r="E612" s="17" t="s">
        <v>18</v>
      </c>
      <c r="F612" s="17" t="s">
        <v>30</v>
      </c>
      <c r="G612" s="21">
        <v>2</v>
      </c>
      <c r="H612" s="12">
        <v>152.37</v>
      </c>
      <c r="I612" s="22">
        <v>0</v>
      </c>
      <c r="J612" s="12">
        <f t="shared" si="19"/>
        <v>304.74</v>
      </c>
      <c r="K612" s="17" t="s">
        <v>43</v>
      </c>
    </row>
    <row r="613" spans="1:11" x14ac:dyDescent="0.25">
      <c r="A613" s="17" t="s">
        <v>925</v>
      </c>
      <c r="B613" s="19">
        <v>46107</v>
      </c>
      <c r="C613" s="20">
        <f t="shared" si="18"/>
        <v>46082</v>
      </c>
      <c r="D613" s="17" t="s">
        <v>926</v>
      </c>
      <c r="E613" s="17" t="s">
        <v>17</v>
      </c>
      <c r="F613" s="17" t="s">
        <v>31</v>
      </c>
      <c r="G613" s="21">
        <v>1</v>
      </c>
      <c r="H613" s="12">
        <v>218.04</v>
      </c>
      <c r="I613" s="22">
        <v>0</v>
      </c>
      <c r="J613" s="12">
        <f t="shared" si="19"/>
        <v>218.04</v>
      </c>
      <c r="K613" s="17" t="s">
        <v>48</v>
      </c>
    </row>
    <row r="614" spans="1:11" x14ac:dyDescent="0.25">
      <c r="A614" s="17" t="s">
        <v>927</v>
      </c>
      <c r="B614" s="19">
        <v>46107</v>
      </c>
      <c r="C614" s="20">
        <f t="shared" si="18"/>
        <v>46082</v>
      </c>
      <c r="D614" s="17" t="s">
        <v>928</v>
      </c>
      <c r="E614" s="17" t="s">
        <v>19</v>
      </c>
      <c r="F614" s="17" t="s">
        <v>31</v>
      </c>
      <c r="G614" s="21">
        <v>1</v>
      </c>
      <c r="H614" s="12">
        <v>129.52000000000001</v>
      </c>
      <c r="I614" s="22">
        <v>0.1</v>
      </c>
      <c r="J614" s="12">
        <f t="shared" si="19"/>
        <v>116.57</v>
      </c>
      <c r="K614" s="17" t="s">
        <v>48</v>
      </c>
    </row>
    <row r="615" spans="1:11" x14ac:dyDescent="0.25">
      <c r="A615" s="17" t="s">
        <v>929</v>
      </c>
      <c r="B615" s="19">
        <v>46107</v>
      </c>
      <c r="C615" s="20">
        <f t="shared" si="18"/>
        <v>46082</v>
      </c>
      <c r="D615" s="17" t="s">
        <v>289</v>
      </c>
      <c r="E615" s="17" t="s">
        <v>19</v>
      </c>
      <c r="F615" s="17" t="s">
        <v>31</v>
      </c>
      <c r="G615" s="21">
        <v>1</v>
      </c>
      <c r="H615" s="12">
        <v>125.2</v>
      </c>
      <c r="I615" s="22">
        <v>0.05</v>
      </c>
      <c r="J615" s="12">
        <f t="shared" si="19"/>
        <v>118.94</v>
      </c>
      <c r="K615" s="17" t="s">
        <v>48</v>
      </c>
    </row>
    <row r="616" spans="1:11" x14ac:dyDescent="0.25">
      <c r="A616" s="17" t="s">
        <v>930</v>
      </c>
      <c r="B616" s="19">
        <v>46108</v>
      </c>
      <c r="C616" s="20">
        <f t="shared" si="18"/>
        <v>46082</v>
      </c>
      <c r="D616" s="17" t="s">
        <v>78</v>
      </c>
      <c r="E616" s="17" t="s">
        <v>27</v>
      </c>
      <c r="F616" s="17" t="s">
        <v>30</v>
      </c>
      <c r="G616" s="21">
        <v>5</v>
      </c>
      <c r="H616" s="12">
        <v>12.82</v>
      </c>
      <c r="I616" s="22">
        <v>0.15</v>
      </c>
      <c r="J616" s="12">
        <f t="shared" si="19"/>
        <v>54.49</v>
      </c>
      <c r="K616" s="17" t="s">
        <v>59</v>
      </c>
    </row>
    <row r="617" spans="1:11" x14ac:dyDescent="0.25">
      <c r="A617" s="17" t="s">
        <v>931</v>
      </c>
      <c r="B617" s="19">
        <v>46108</v>
      </c>
      <c r="C617" s="20">
        <f t="shared" si="18"/>
        <v>46082</v>
      </c>
      <c r="D617" s="17" t="s">
        <v>699</v>
      </c>
      <c r="E617" s="17" t="s">
        <v>18</v>
      </c>
      <c r="F617" s="17" t="s">
        <v>30</v>
      </c>
      <c r="G617" s="21">
        <v>2</v>
      </c>
      <c r="H617" s="12">
        <v>152.71</v>
      </c>
      <c r="I617" s="22">
        <v>0.15</v>
      </c>
      <c r="J617" s="12">
        <f t="shared" si="19"/>
        <v>259.61</v>
      </c>
      <c r="K617" s="17" t="s">
        <v>43</v>
      </c>
    </row>
    <row r="618" spans="1:11" x14ac:dyDescent="0.25">
      <c r="A618" s="17" t="s">
        <v>932</v>
      </c>
      <c r="B618" s="19">
        <v>46108</v>
      </c>
      <c r="C618" s="20">
        <f t="shared" si="18"/>
        <v>46082</v>
      </c>
      <c r="D618" s="17" t="s">
        <v>911</v>
      </c>
      <c r="E618" s="17" t="s">
        <v>16</v>
      </c>
      <c r="F618" s="17" t="s">
        <v>31</v>
      </c>
      <c r="G618" s="21">
        <v>1</v>
      </c>
      <c r="H618" s="12">
        <v>255.29</v>
      </c>
      <c r="I618" s="22">
        <v>0.15</v>
      </c>
      <c r="J618" s="12">
        <f t="shared" si="19"/>
        <v>217</v>
      </c>
      <c r="K618" s="17" t="s">
        <v>48</v>
      </c>
    </row>
    <row r="619" spans="1:11" x14ac:dyDescent="0.25">
      <c r="A619" s="17" t="s">
        <v>933</v>
      </c>
      <c r="B619" s="19">
        <v>46108</v>
      </c>
      <c r="C619" s="20">
        <f t="shared" si="18"/>
        <v>46082</v>
      </c>
      <c r="D619" s="17" t="s">
        <v>934</v>
      </c>
      <c r="E619" s="17" t="s">
        <v>16</v>
      </c>
      <c r="F619" s="17" t="s">
        <v>31</v>
      </c>
      <c r="G619" s="21">
        <v>2</v>
      </c>
      <c r="H619" s="12">
        <v>247.56</v>
      </c>
      <c r="I619" s="22">
        <v>0.05</v>
      </c>
      <c r="J619" s="12">
        <f t="shared" si="19"/>
        <v>470.36</v>
      </c>
      <c r="K619" s="17" t="s">
        <v>48</v>
      </c>
    </row>
    <row r="620" spans="1:11" x14ac:dyDescent="0.25">
      <c r="A620" s="17" t="s">
        <v>935</v>
      </c>
      <c r="B620" s="19">
        <v>46109</v>
      </c>
      <c r="C620" s="20">
        <f t="shared" si="18"/>
        <v>46082</v>
      </c>
      <c r="D620" s="17" t="s">
        <v>183</v>
      </c>
      <c r="E620" s="17" t="s">
        <v>17</v>
      </c>
      <c r="F620" s="17" t="s">
        <v>30</v>
      </c>
      <c r="G620" s="21">
        <v>1</v>
      </c>
      <c r="H620" s="12">
        <v>218.73</v>
      </c>
      <c r="I620" s="22">
        <v>0.15</v>
      </c>
      <c r="J620" s="12">
        <f t="shared" si="19"/>
        <v>185.92</v>
      </c>
      <c r="K620" s="17" t="s">
        <v>59</v>
      </c>
    </row>
    <row r="621" spans="1:11" x14ac:dyDescent="0.25">
      <c r="A621" s="17" t="s">
        <v>936</v>
      </c>
      <c r="B621" s="19">
        <v>46109</v>
      </c>
      <c r="C621" s="20">
        <f t="shared" si="18"/>
        <v>46082</v>
      </c>
      <c r="D621" s="17" t="s">
        <v>751</v>
      </c>
      <c r="E621" s="17" t="s">
        <v>27</v>
      </c>
      <c r="F621" s="17" t="s">
        <v>30</v>
      </c>
      <c r="G621" s="21">
        <v>2</v>
      </c>
      <c r="H621" s="12">
        <v>13.08</v>
      </c>
      <c r="I621" s="22">
        <v>0</v>
      </c>
      <c r="J621" s="12">
        <f t="shared" si="19"/>
        <v>26.16</v>
      </c>
      <c r="K621" s="17" t="s">
        <v>59</v>
      </c>
    </row>
    <row r="622" spans="1:11" x14ac:dyDescent="0.25">
      <c r="A622" s="17" t="s">
        <v>937</v>
      </c>
      <c r="B622" s="19">
        <v>46109</v>
      </c>
      <c r="C622" s="20">
        <f t="shared" si="18"/>
        <v>46082</v>
      </c>
      <c r="D622" s="17" t="s">
        <v>104</v>
      </c>
      <c r="E622" s="17" t="s">
        <v>16</v>
      </c>
      <c r="F622" s="17" t="s">
        <v>30</v>
      </c>
      <c r="G622" s="21">
        <v>3</v>
      </c>
      <c r="H622" s="12">
        <v>249.52</v>
      </c>
      <c r="I622" s="22">
        <v>0</v>
      </c>
      <c r="J622" s="12">
        <f t="shared" si="19"/>
        <v>748.56</v>
      </c>
      <c r="K622" s="17" t="s">
        <v>43</v>
      </c>
    </row>
    <row r="623" spans="1:11" x14ac:dyDescent="0.25">
      <c r="A623" s="17" t="s">
        <v>938</v>
      </c>
      <c r="B623" s="19">
        <v>46109</v>
      </c>
      <c r="C623" s="20">
        <f t="shared" si="18"/>
        <v>46082</v>
      </c>
      <c r="D623" s="17" t="s">
        <v>939</v>
      </c>
      <c r="E623" s="17" t="s">
        <v>22</v>
      </c>
      <c r="F623" s="17" t="s">
        <v>30</v>
      </c>
      <c r="G623" s="21">
        <v>1</v>
      </c>
      <c r="H623" s="12">
        <v>99.93</v>
      </c>
      <c r="I623" s="22">
        <v>0</v>
      </c>
      <c r="J623" s="12">
        <f t="shared" si="19"/>
        <v>99.93</v>
      </c>
      <c r="K623" s="17" t="s">
        <v>43</v>
      </c>
    </row>
    <row r="624" spans="1:11" x14ac:dyDescent="0.25">
      <c r="A624" s="17" t="s">
        <v>940</v>
      </c>
      <c r="B624" s="19">
        <v>46109</v>
      </c>
      <c r="C624" s="20">
        <f t="shared" si="18"/>
        <v>46082</v>
      </c>
      <c r="D624" s="17" t="s">
        <v>255</v>
      </c>
      <c r="E624" s="17" t="s">
        <v>26</v>
      </c>
      <c r="F624" s="17" t="s">
        <v>31</v>
      </c>
      <c r="G624" s="21">
        <v>2</v>
      </c>
      <c r="H624" s="12">
        <v>23.87</v>
      </c>
      <c r="I624" s="22">
        <v>0.05</v>
      </c>
      <c r="J624" s="12">
        <f t="shared" si="19"/>
        <v>45.35</v>
      </c>
      <c r="K624" s="17" t="s">
        <v>48</v>
      </c>
    </row>
    <row r="625" spans="1:11" x14ac:dyDescent="0.25">
      <c r="A625" s="17" t="s">
        <v>941</v>
      </c>
      <c r="B625" s="19">
        <v>46109</v>
      </c>
      <c r="C625" s="20">
        <f t="shared" si="18"/>
        <v>46082</v>
      </c>
      <c r="D625" s="17" t="s">
        <v>677</v>
      </c>
      <c r="E625" s="17" t="s">
        <v>21</v>
      </c>
      <c r="F625" s="17" t="s">
        <v>31</v>
      </c>
      <c r="G625" s="21">
        <v>3</v>
      </c>
      <c r="H625" s="12">
        <v>79.05</v>
      </c>
      <c r="I625" s="22">
        <v>0.1</v>
      </c>
      <c r="J625" s="12">
        <f t="shared" si="19"/>
        <v>213.44</v>
      </c>
      <c r="K625" s="17" t="s">
        <v>48</v>
      </c>
    </row>
    <row r="626" spans="1:11" x14ac:dyDescent="0.25">
      <c r="A626" s="17" t="s">
        <v>942</v>
      </c>
      <c r="B626" s="19">
        <v>46109</v>
      </c>
      <c r="C626" s="20">
        <f t="shared" si="18"/>
        <v>46082</v>
      </c>
      <c r="D626" s="17" t="s">
        <v>249</v>
      </c>
      <c r="E626" s="17" t="s">
        <v>26</v>
      </c>
      <c r="F626" s="17" t="s">
        <v>31</v>
      </c>
      <c r="G626" s="21">
        <v>1</v>
      </c>
      <c r="H626" s="12">
        <v>25.17</v>
      </c>
      <c r="I626" s="22">
        <v>0</v>
      </c>
      <c r="J626" s="12">
        <f t="shared" si="19"/>
        <v>25.17</v>
      </c>
      <c r="K626" s="17" t="s">
        <v>48</v>
      </c>
    </row>
    <row r="627" spans="1:11" x14ac:dyDescent="0.25">
      <c r="A627" s="17" t="s">
        <v>943</v>
      </c>
      <c r="B627" s="19">
        <v>46109</v>
      </c>
      <c r="C627" s="20">
        <f t="shared" si="18"/>
        <v>46082</v>
      </c>
      <c r="D627" s="17" t="s">
        <v>108</v>
      </c>
      <c r="E627" s="17" t="s">
        <v>18</v>
      </c>
      <c r="F627" s="17" t="s">
        <v>31</v>
      </c>
      <c r="G627" s="21">
        <v>1</v>
      </c>
      <c r="H627" s="12">
        <v>152.27000000000001</v>
      </c>
      <c r="I627" s="22">
        <v>0.15</v>
      </c>
      <c r="J627" s="12">
        <f t="shared" si="19"/>
        <v>129.43</v>
      </c>
      <c r="K627" s="17" t="s">
        <v>48</v>
      </c>
    </row>
    <row r="628" spans="1:11" x14ac:dyDescent="0.25">
      <c r="A628" s="17" t="s">
        <v>944</v>
      </c>
      <c r="B628" s="19">
        <v>46109</v>
      </c>
      <c r="C628" s="20">
        <f t="shared" si="18"/>
        <v>46082</v>
      </c>
      <c r="D628" s="17" t="s">
        <v>100</v>
      </c>
      <c r="E628" s="17" t="s">
        <v>25</v>
      </c>
      <c r="F628" s="17" t="s">
        <v>31</v>
      </c>
      <c r="G628" s="21">
        <v>5</v>
      </c>
      <c r="H628" s="12">
        <v>29.57</v>
      </c>
      <c r="I628" s="22">
        <v>0.1</v>
      </c>
      <c r="J628" s="12">
        <f t="shared" si="19"/>
        <v>133.07</v>
      </c>
      <c r="K628" s="17" t="s">
        <v>48</v>
      </c>
    </row>
    <row r="629" spans="1:11" x14ac:dyDescent="0.25">
      <c r="A629" s="17" t="s">
        <v>945</v>
      </c>
      <c r="B629" s="19">
        <v>46109</v>
      </c>
      <c r="C629" s="20">
        <f t="shared" si="18"/>
        <v>46082</v>
      </c>
      <c r="D629" s="17" t="s">
        <v>244</v>
      </c>
      <c r="E629" s="17" t="s">
        <v>16</v>
      </c>
      <c r="F629" s="17" t="s">
        <v>31</v>
      </c>
      <c r="G629" s="21">
        <v>2</v>
      </c>
      <c r="H629" s="12">
        <v>243.09</v>
      </c>
      <c r="I629" s="22">
        <v>0</v>
      </c>
      <c r="J629" s="12">
        <f t="shared" si="19"/>
        <v>486.18</v>
      </c>
      <c r="K629" s="17" t="s">
        <v>48</v>
      </c>
    </row>
    <row r="630" spans="1:11" x14ac:dyDescent="0.25">
      <c r="A630" s="17" t="s">
        <v>946</v>
      </c>
      <c r="B630" s="19">
        <v>46110</v>
      </c>
      <c r="C630" s="20">
        <f t="shared" si="18"/>
        <v>46082</v>
      </c>
      <c r="D630" s="17" t="s">
        <v>63</v>
      </c>
      <c r="E630" s="17" t="s">
        <v>23</v>
      </c>
      <c r="F630" s="17" t="s">
        <v>30</v>
      </c>
      <c r="G630" s="21">
        <v>5</v>
      </c>
      <c r="H630" s="12">
        <v>57.47</v>
      </c>
      <c r="I630" s="22">
        <v>0</v>
      </c>
      <c r="J630" s="12">
        <f t="shared" si="19"/>
        <v>287.35000000000002</v>
      </c>
      <c r="K630" s="17" t="s">
        <v>59</v>
      </c>
    </row>
    <row r="631" spans="1:11" x14ac:dyDescent="0.25">
      <c r="A631" s="17" t="s">
        <v>947</v>
      </c>
      <c r="B631" s="19">
        <v>46110</v>
      </c>
      <c r="C631" s="20">
        <f t="shared" si="18"/>
        <v>46082</v>
      </c>
      <c r="D631" s="17" t="s">
        <v>274</v>
      </c>
      <c r="E631" s="17" t="s">
        <v>19</v>
      </c>
      <c r="F631" s="17" t="s">
        <v>30</v>
      </c>
      <c r="G631" s="21">
        <v>2</v>
      </c>
      <c r="H631" s="12">
        <v>132.79</v>
      </c>
      <c r="I631" s="22">
        <v>0</v>
      </c>
      <c r="J631" s="12">
        <f t="shared" si="19"/>
        <v>265.58</v>
      </c>
      <c r="K631" s="17" t="s">
        <v>59</v>
      </c>
    </row>
    <row r="632" spans="1:11" x14ac:dyDescent="0.25">
      <c r="A632" s="17" t="s">
        <v>948</v>
      </c>
      <c r="B632" s="19">
        <v>46110</v>
      </c>
      <c r="C632" s="20">
        <f t="shared" si="18"/>
        <v>46082</v>
      </c>
      <c r="D632" s="17" t="s">
        <v>54</v>
      </c>
      <c r="E632" s="17" t="s">
        <v>16</v>
      </c>
      <c r="F632" s="17" t="s">
        <v>30</v>
      </c>
      <c r="G632" s="21">
        <v>1</v>
      </c>
      <c r="H632" s="12">
        <v>249.36</v>
      </c>
      <c r="I632" s="22">
        <v>0.1</v>
      </c>
      <c r="J632" s="12">
        <f t="shared" si="19"/>
        <v>224.42</v>
      </c>
      <c r="K632" s="17" t="s">
        <v>59</v>
      </c>
    </row>
    <row r="633" spans="1:11" x14ac:dyDescent="0.25">
      <c r="A633" s="17" t="s">
        <v>949</v>
      </c>
      <c r="B633" s="19">
        <v>46110</v>
      </c>
      <c r="C633" s="20">
        <f t="shared" si="18"/>
        <v>46082</v>
      </c>
      <c r="D633" s="17" t="s">
        <v>339</v>
      </c>
      <c r="E633" s="17" t="s">
        <v>21</v>
      </c>
      <c r="F633" s="17" t="s">
        <v>30</v>
      </c>
      <c r="G633" s="21">
        <v>1</v>
      </c>
      <c r="H633" s="12">
        <v>79.84</v>
      </c>
      <c r="I633" s="22">
        <v>0</v>
      </c>
      <c r="J633" s="12">
        <f t="shared" si="19"/>
        <v>79.84</v>
      </c>
      <c r="K633" s="17" t="s">
        <v>59</v>
      </c>
    </row>
    <row r="634" spans="1:11" x14ac:dyDescent="0.25">
      <c r="A634" s="17" t="s">
        <v>950</v>
      </c>
      <c r="B634" s="19">
        <v>46110</v>
      </c>
      <c r="C634" s="20">
        <f t="shared" si="18"/>
        <v>46082</v>
      </c>
      <c r="D634" s="17" t="s">
        <v>359</v>
      </c>
      <c r="E634" s="17" t="s">
        <v>24</v>
      </c>
      <c r="F634" s="17" t="s">
        <v>31</v>
      </c>
      <c r="G634" s="21">
        <v>2</v>
      </c>
      <c r="H634" s="12">
        <v>33.97</v>
      </c>
      <c r="I634" s="22">
        <v>0</v>
      </c>
      <c r="J634" s="12">
        <f t="shared" si="19"/>
        <v>67.94</v>
      </c>
      <c r="K634" s="17" t="s">
        <v>48</v>
      </c>
    </row>
    <row r="635" spans="1:11" x14ac:dyDescent="0.25">
      <c r="A635" s="17" t="s">
        <v>951</v>
      </c>
      <c r="B635" s="19">
        <v>46111</v>
      </c>
      <c r="C635" s="20">
        <f t="shared" si="18"/>
        <v>46082</v>
      </c>
      <c r="D635" s="17" t="s">
        <v>773</v>
      </c>
      <c r="E635" s="17" t="s">
        <v>26</v>
      </c>
      <c r="F635" s="17" t="s">
        <v>30</v>
      </c>
      <c r="G635" s="21">
        <v>2</v>
      </c>
      <c r="H635" s="12">
        <v>24.82</v>
      </c>
      <c r="I635" s="22">
        <v>0</v>
      </c>
      <c r="J635" s="12">
        <f t="shared" si="19"/>
        <v>49.64</v>
      </c>
      <c r="K635" s="17" t="s">
        <v>59</v>
      </c>
    </row>
    <row r="636" spans="1:11" x14ac:dyDescent="0.25">
      <c r="A636" s="17" t="s">
        <v>952</v>
      </c>
      <c r="B636" s="19">
        <v>46111</v>
      </c>
      <c r="C636" s="20">
        <f t="shared" si="18"/>
        <v>46082</v>
      </c>
      <c r="D636" s="17" t="s">
        <v>244</v>
      </c>
      <c r="E636" s="17" t="s">
        <v>27</v>
      </c>
      <c r="F636" s="17" t="s">
        <v>30</v>
      </c>
      <c r="G636" s="21">
        <v>1</v>
      </c>
      <c r="H636" s="12">
        <v>12.67</v>
      </c>
      <c r="I636" s="22">
        <v>0</v>
      </c>
      <c r="J636" s="12">
        <f t="shared" si="19"/>
        <v>12.67</v>
      </c>
      <c r="K636" s="17" t="s">
        <v>59</v>
      </c>
    </row>
    <row r="637" spans="1:11" x14ac:dyDescent="0.25">
      <c r="A637" s="17" t="s">
        <v>953</v>
      </c>
      <c r="B637" s="19">
        <v>46111</v>
      </c>
      <c r="C637" s="20">
        <f t="shared" si="18"/>
        <v>46082</v>
      </c>
      <c r="D637" s="17" t="s">
        <v>255</v>
      </c>
      <c r="E637" s="17" t="s">
        <v>17</v>
      </c>
      <c r="F637" s="17" t="s">
        <v>30</v>
      </c>
      <c r="G637" s="21">
        <v>4</v>
      </c>
      <c r="H637" s="12">
        <v>225.55</v>
      </c>
      <c r="I637" s="22">
        <v>0.1</v>
      </c>
      <c r="J637" s="12">
        <f t="shared" si="19"/>
        <v>811.98</v>
      </c>
      <c r="K637" s="17" t="s">
        <v>59</v>
      </c>
    </row>
    <row r="638" spans="1:11" x14ac:dyDescent="0.25">
      <c r="A638" s="17" t="s">
        <v>954</v>
      </c>
      <c r="B638" s="19">
        <v>46111</v>
      </c>
      <c r="C638" s="20">
        <f t="shared" si="18"/>
        <v>46082</v>
      </c>
      <c r="D638" s="17" t="s">
        <v>170</v>
      </c>
      <c r="E638" s="17" t="s">
        <v>16</v>
      </c>
      <c r="F638" s="17" t="s">
        <v>30</v>
      </c>
      <c r="G638" s="21">
        <v>2</v>
      </c>
      <c r="H638" s="12">
        <v>248.61</v>
      </c>
      <c r="I638" s="22">
        <v>0.1</v>
      </c>
      <c r="J638" s="12">
        <f t="shared" si="19"/>
        <v>447.5</v>
      </c>
      <c r="K638" s="17" t="s">
        <v>43</v>
      </c>
    </row>
    <row r="639" spans="1:11" x14ac:dyDescent="0.25">
      <c r="A639" s="17" t="s">
        <v>955</v>
      </c>
      <c r="B639" s="19">
        <v>46111</v>
      </c>
      <c r="C639" s="20">
        <f t="shared" si="18"/>
        <v>46082</v>
      </c>
      <c r="D639" s="17" t="s">
        <v>539</v>
      </c>
      <c r="E639" s="17" t="s">
        <v>21</v>
      </c>
      <c r="F639" s="17" t="s">
        <v>30</v>
      </c>
      <c r="G639" s="21">
        <v>1</v>
      </c>
      <c r="H639" s="12">
        <v>76.75</v>
      </c>
      <c r="I639" s="22">
        <v>0.15</v>
      </c>
      <c r="J639" s="12">
        <f t="shared" si="19"/>
        <v>65.239999999999995</v>
      </c>
      <c r="K639" s="17" t="s">
        <v>43</v>
      </c>
    </row>
    <row r="640" spans="1:11" x14ac:dyDescent="0.25">
      <c r="A640" s="17" t="s">
        <v>956</v>
      </c>
      <c r="B640" s="19">
        <v>46111</v>
      </c>
      <c r="C640" s="20">
        <f t="shared" si="18"/>
        <v>46082</v>
      </c>
      <c r="D640" s="17" t="s">
        <v>197</v>
      </c>
      <c r="E640" s="17" t="s">
        <v>27</v>
      </c>
      <c r="F640" s="17" t="s">
        <v>30</v>
      </c>
      <c r="G640" s="21">
        <v>1</v>
      </c>
      <c r="H640" s="12">
        <v>13.08</v>
      </c>
      <c r="I640" s="22">
        <v>0.15</v>
      </c>
      <c r="J640" s="12">
        <f t="shared" si="19"/>
        <v>11.12</v>
      </c>
      <c r="K640" s="17" t="s">
        <v>43</v>
      </c>
    </row>
    <row r="641" spans="1:11" x14ac:dyDescent="0.25">
      <c r="A641" s="17" t="s">
        <v>957</v>
      </c>
      <c r="B641" s="19">
        <v>46111</v>
      </c>
      <c r="C641" s="20">
        <f t="shared" si="18"/>
        <v>46082</v>
      </c>
      <c r="D641" s="17" t="s">
        <v>50</v>
      </c>
      <c r="E641" s="17" t="s">
        <v>26</v>
      </c>
      <c r="F641" s="17" t="s">
        <v>30</v>
      </c>
      <c r="G641" s="21">
        <v>2</v>
      </c>
      <c r="H641" s="12">
        <v>23.89</v>
      </c>
      <c r="I641" s="22">
        <v>0</v>
      </c>
      <c r="J641" s="12">
        <f t="shared" si="19"/>
        <v>47.78</v>
      </c>
      <c r="K641" s="17" t="s">
        <v>43</v>
      </c>
    </row>
    <row r="642" spans="1:11" x14ac:dyDescent="0.25">
      <c r="A642" s="17" t="s">
        <v>958</v>
      </c>
      <c r="B642" s="19">
        <v>46111</v>
      </c>
      <c r="C642" s="20">
        <f t="shared" ref="C642:C705" si="20">DATE(YEAR(B642),MONTH(B642),1)</f>
        <v>46082</v>
      </c>
      <c r="D642" s="17" t="s">
        <v>67</v>
      </c>
      <c r="E642" s="17" t="s">
        <v>18</v>
      </c>
      <c r="F642" s="17" t="s">
        <v>31</v>
      </c>
      <c r="G642" s="21">
        <v>1</v>
      </c>
      <c r="H642" s="12">
        <v>152.08000000000001</v>
      </c>
      <c r="I642" s="22">
        <v>0</v>
      </c>
      <c r="J642" s="12">
        <f t="shared" ref="J642:J705" si="21">ROUND(G642*H642*(1-I642),2)</f>
        <v>152.08000000000001</v>
      </c>
      <c r="K642" s="17" t="s">
        <v>48</v>
      </c>
    </row>
    <row r="643" spans="1:11" x14ac:dyDescent="0.25">
      <c r="A643" s="17" t="s">
        <v>959</v>
      </c>
      <c r="B643" s="19">
        <v>46111</v>
      </c>
      <c r="C643" s="20">
        <f t="shared" si="20"/>
        <v>46082</v>
      </c>
      <c r="D643" s="17" t="s">
        <v>960</v>
      </c>
      <c r="E643" s="17" t="s">
        <v>27</v>
      </c>
      <c r="F643" s="17" t="s">
        <v>31</v>
      </c>
      <c r="G643" s="21">
        <v>2</v>
      </c>
      <c r="H643" s="12">
        <v>12.78</v>
      </c>
      <c r="I643" s="22">
        <v>0</v>
      </c>
      <c r="J643" s="12">
        <f t="shared" si="21"/>
        <v>25.56</v>
      </c>
      <c r="K643" s="17" t="s">
        <v>48</v>
      </c>
    </row>
    <row r="644" spans="1:11" x14ac:dyDescent="0.25">
      <c r="A644" s="17" t="s">
        <v>961</v>
      </c>
      <c r="B644" s="19">
        <v>46111</v>
      </c>
      <c r="C644" s="20">
        <f t="shared" si="20"/>
        <v>46082</v>
      </c>
      <c r="D644" s="17" t="s">
        <v>233</v>
      </c>
      <c r="E644" s="17" t="s">
        <v>27</v>
      </c>
      <c r="F644" s="17" t="s">
        <v>31</v>
      </c>
      <c r="G644" s="21">
        <v>2</v>
      </c>
      <c r="H644" s="12">
        <v>13.32</v>
      </c>
      <c r="I644" s="22">
        <v>0</v>
      </c>
      <c r="J644" s="12">
        <f t="shared" si="21"/>
        <v>26.64</v>
      </c>
      <c r="K644" s="17" t="s">
        <v>48</v>
      </c>
    </row>
    <row r="645" spans="1:11" x14ac:dyDescent="0.25">
      <c r="A645" s="17" t="s">
        <v>962</v>
      </c>
      <c r="B645" s="19">
        <v>46112</v>
      </c>
      <c r="C645" s="20">
        <f t="shared" si="20"/>
        <v>46082</v>
      </c>
      <c r="D645" s="17" t="s">
        <v>179</v>
      </c>
      <c r="E645" s="17" t="s">
        <v>21</v>
      </c>
      <c r="F645" s="17" t="s">
        <v>30</v>
      </c>
      <c r="G645" s="21">
        <v>2</v>
      </c>
      <c r="H645" s="12">
        <v>77.11</v>
      </c>
      <c r="I645" s="22">
        <v>0.05</v>
      </c>
      <c r="J645" s="12">
        <f t="shared" si="21"/>
        <v>146.51</v>
      </c>
      <c r="K645" s="17" t="s">
        <v>59</v>
      </c>
    </row>
    <row r="646" spans="1:11" x14ac:dyDescent="0.25">
      <c r="A646" s="17" t="s">
        <v>963</v>
      </c>
      <c r="B646" s="19">
        <v>46112</v>
      </c>
      <c r="C646" s="20">
        <f t="shared" si="20"/>
        <v>46082</v>
      </c>
      <c r="D646" s="17" t="s">
        <v>566</v>
      </c>
      <c r="E646" s="17" t="s">
        <v>22</v>
      </c>
      <c r="F646" s="17" t="s">
        <v>30</v>
      </c>
      <c r="G646" s="21">
        <v>3</v>
      </c>
      <c r="H646" s="12">
        <v>98.05</v>
      </c>
      <c r="I646" s="22">
        <v>0</v>
      </c>
      <c r="J646" s="12">
        <f t="shared" si="21"/>
        <v>294.14999999999998</v>
      </c>
      <c r="K646" s="17" t="s">
        <v>59</v>
      </c>
    </row>
    <row r="647" spans="1:11" x14ac:dyDescent="0.25">
      <c r="A647" s="17" t="s">
        <v>964</v>
      </c>
      <c r="B647" s="19">
        <v>46112</v>
      </c>
      <c r="C647" s="20">
        <f t="shared" si="20"/>
        <v>46082</v>
      </c>
      <c r="D647" s="17" t="s">
        <v>477</v>
      </c>
      <c r="E647" s="17" t="s">
        <v>25</v>
      </c>
      <c r="F647" s="17" t="s">
        <v>30</v>
      </c>
      <c r="G647" s="21">
        <v>1</v>
      </c>
      <c r="H647" s="12">
        <v>30.04</v>
      </c>
      <c r="I647" s="22">
        <v>0</v>
      </c>
      <c r="J647" s="12">
        <f t="shared" si="21"/>
        <v>30.04</v>
      </c>
      <c r="K647" s="17" t="s">
        <v>59</v>
      </c>
    </row>
    <row r="648" spans="1:11" x14ac:dyDescent="0.25">
      <c r="A648" s="17" t="s">
        <v>965</v>
      </c>
      <c r="B648" s="19">
        <v>46112</v>
      </c>
      <c r="C648" s="20">
        <f t="shared" si="20"/>
        <v>46082</v>
      </c>
      <c r="D648" s="17" t="s">
        <v>651</v>
      </c>
      <c r="E648" s="17" t="s">
        <v>18</v>
      </c>
      <c r="F648" s="17" t="s">
        <v>30</v>
      </c>
      <c r="G648" s="21">
        <v>4</v>
      </c>
      <c r="H648" s="12">
        <v>146.24</v>
      </c>
      <c r="I648" s="22">
        <v>0</v>
      </c>
      <c r="J648" s="12">
        <f t="shared" si="21"/>
        <v>584.96</v>
      </c>
      <c r="K648" s="17" t="s">
        <v>59</v>
      </c>
    </row>
    <row r="649" spans="1:11" x14ac:dyDescent="0.25">
      <c r="A649" s="17" t="s">
        <v>966</v>
      </c>
      <c r="B649" s="19">
        <v>46112</v>
      </c>
      <c r="C649" s="20">
        <f t="shared" si="20"/>
        <v>46082</v>
      </c>
      <c r="D649" s="17" t="s">
        <v>763</v>
      </c>
      <c r="E649" s="17" t="s">
        <v>23</v>
      </c>
      <c r="F649" s="17" t="s">
        <v>30</v>
      </c>
      <c r="G649" s="21">
        <v>2</v>
      </c>
      <c r="H649" s="12">
        <v>60.57</v>
      </c>
      <c r="I649" s="22">
        <v>0.15</v>
      </c>
      <c r="J649" s="12">
        <f t="shared" si="21"/>
        <v>102.97</v>
      </c>
      <c r="K649" s="17" t="s">
        <v>43</v>
      </c>
    </row>
    <row r="650" spans="1:11" x14ac:dyDescent="0.25">
      <c r="A650" s="17" t="s">
        <v>967</v>
      </c>
      <c r="B650" s="19">
        <v>46112</v>
      </c>
      <c r="C650" s="20">
        <f t="shared" si="20"/>
        <v>46082</v>
      </c>
      <c r="D650" s="17" t="s">
        <v>192</v>
      </c>
      <c r="E650" s="17" t="s">
        <v>24</v>
      </c>
      <c r="F650" s="17" t="s">
        <v>31</v>
      </c>
      <c r="G650" s="21">
        <v>1</v>
      </c>
      <c r="H650" s="12">
        <v>34.81</v>
      </c>
      <c r="I650" s="22">
        <v>0</v>
      </c>
      <c r="J650" s="12">
        <f t="shared" si="21"/>
        <v>34.81</v>
      </c>
      <c r="K650" s="17" t="s">
        <v>48</v>
      </c>
    </row>
    <row r="651" spans="1:11" x14ac:dyDescent="0.25">
      <c r="A651" s="17" t="s">
        <v>968</v>
      </c>
      <c r="B651" s="19">
        <v>46113</v>
      </c>
      <c r="C651" s="20">
        <f t="shared" si="20"/>
        <v>46113</v>
      </c>
      <c r="D651" s="17" t="s">
        <v>221</v>
      </c>
      <c r="E651" s="17" t="s">
        <v>22</v>
      </c>
      <c r="F651" s="17" t="s">
        <v>30</v>
      </c>
      <c r="G651" s="21">
        <v>3</v>
      </c>
      <c r="H651" s="12">
        <v>99.2</v>
      </c>
      <c r="I651" s="22">
        <v>0.05</v>
      </c>
      <c r="J651" s="12">
        <f t="shared" si="21"/>
        <v>282.72000000000003</v>
      </c>
      <c r="K651" s="17" t="s">
        <v>59</v>
      </c>
    </row>
    <row r="652" spans="1:11" x14ac:dyDescent="0.25">
      <c r="A652" s="17" t="s">
        <v>969</v>
      </c>
      <c r="B652" s="19">
        <v>46113</v>
      </c>
      <c r="C652" s="20">
        <f t="shared" si="20"/>
        <v>46113</v>
      </c>
      <c r="D652" s="17" t="s">
        <v>543</v>
      </c>
      <c r="E652" s="17" t="s">
        <v>16</v>
      </c>
      <c r="F652" s="17" t="s">
        <v>30</v>
      </c>
      <c r="G652" s="21">
        <v>4</v>
      </c>
      <c r="H652" s="12">
        <v>249.39</v>
      </c>
      <c r="I652" s="22">
        <v>0.1</v>
      </c>
      <c r="J652" s="12">
        <f t="shared" si="21"/>
        <v>897.8</v>
      </c>
      <c r="K652" s="17" t="s">
        <v>59</v>
      </c>
    </row>
    <row r="653" spans="1:11" x14ac:dyDescent="0.25">
      <c r="A653" s="17" t="s">
        <v>970</v>
      </c>
      <c r="B653" s="19">
        <v>46113</v>
      </c>
      <c r="C653" s="20">
        <f t="shared" si="20"/>
        <v>46113</v>
      </c>
      <c r="D653" s="17" t="s">
        <v>137</v>
      </c>
      <c r="E653" s="17" t="s">
        <v>24</v>
      </c>
      <c r="F653" s="17" t="s">
        <v>30</v>
      </c>
      <c r="G653" s="21">
        <v>1</v>
      </c>
      <c r="H653" s="12">
        <v>34.29</v>
      </c>
      <c r="I653" s="22">
        <v>0</v>
      </c>
      <c r="J653" s="12">
        <f t="shared" si="21"/>
        <v>34.29</v>
      </c>
      <c r="K653" s="17" t="s">
        <v>43</v>
      </c>
    </row>
    <row r="654" spans="1:11" x14ac:dyDescent="0.25">
      <c r="A654" s="17" t="s">
        <v>971</v>
      </c>
      <c r="B654" s="19">
        <v>46113</v>
      </c>
      <c r="C654" s="20">
        <f t="shared" si="20"/>
        <v>46113</v>
      </c>
      <c r="D654" s="17" t="s">
        <v>346</v>
      </c>
      <c r="E654" s="17" t="s">
        <v>20</v>
      </c>
      <c r="F654" s="17" t="s">
        <v>30</v>
      </c>
      <c r="G654" s="21">
        <v>4</v>
      </c>
      <c r="H654" s="12">
        <v>87.2</v>
      </c>
      <c r="I654" s="22">
        <v>0.05</v>
      </c>
      <c r="J654" s="12">
        <f t="shared" si="21"/>
        <v>331.36</v>
      </c>
      <c r="K654" s="17" t="s">
        <v>43</v>
      </c>
    </row>
    <row r="655" spans="1:11" x14ac:dyDescent="0.25">
      <c r="A655" s="17" t="s">
        <v>972</v>
      </c>
      <c r="B655" s="19">
        <v>46113</v>
      </c>
      <c r="C655" s="20">
        <f t="shared" si="20"/>
        <v>46113</v>
      </c>
      <c r="D655" s="17" t="s">
        <v>807</v>
      </c>
      <c r="E655" s="17" t="s">
        <v>21</v>
      </c>
      <c r="F655" s="17" t="s">
        <v>30</v>
      </c>
      <c r="G655" s="21">
        <v>2</v>
      </c>
      <c r="H655" s="12">
        <v>80.89</v>
      </c>
      <c r="I655" s="22">
        <v>0</v>
      </c>
      <c r="J655" s="12">
        <f t="shared" si="21"/>
        <v>161.78</v>
      </c>
      <c r="K655" s="17" t="s">
        <v>43</v>
      </c>
    </row>
    <row r="656" spans="1:11" x14ac:dyDescent="0.25">
      <c r="A656" s="17" t="s">
        <v>973</v>
      </c>
      <c r="B656" s="19">
        <v>46113</v>
      </c>
      <c r="C656" s="20">
        <f t="shared" si="20"/>
        <v>46113</v>
      </c>
      <c r="D656" s="17" t="s">
        <v>669</v>
      </c>
      <c r="E656" s="17" t="s">
        <v>19</v>
      </c>
      <c r="F656" s="17" t="s">
        <v>31</v>
      </c>
      <c r="G656" s="21">
        <v>1</v>
      </c>
      <c r="H656" s="12">
        <v>129.30000000000001</v>
      </c>
      <c r="I656" s="22">
        <v>0</v>
      </c>
      <c r="J656" s="12">
        <f t="shared" si="21"/>
        <v>129.30000000000001</v>
      </c>
      <c r="K656" s="17" t="s">
        <v>48</v>
      </c>
    </row>
    <row r="657" spans="1:11" x14ac:dyDescent="0.25">
      <c r="A657" s="17" t="s">
        <v>974</v>
      </c>
      <c r="B657" s="19">
        <v>46113</v>
      </c>
      <c r="C657" s="20">
        <f t="shared" si="20"/>
        <v>46113</v>
      </c>
      <c r="D657" s="17" t="s">
        <v>975</v>
      </c>
      <c r="E657" s="17" t="s">
        <v>20</v>
      </c>
      <c r="F657" s="17" t="s">
        <v>31</v>
      </c>
      <c r="G657" s="21">
        <v>5</v>
      </c>
      <c r="H657" s="12">
        <v>90.73</v>
      </c>
      <c r="I657" s="22">
        <v>0.15</v>
      </c>
      <c r="J657" s="12">
        <f t="shared" si="21"/>
        <v>385.6</v>
      </c>
      <c r="K657" s="17" t="s">
        <v>48</v>
      </c>
    </row>
    <row r="658" spans="1:11" x14ac:dyDescent="0.25">
      <c r="A658" s="17" t="s">
        <v>976</v>
      </c>
      <c r="B658" s="19">
        <v>46114</v>
      </c>
      <c r="C658" s="20">
        <f t="shared" si="20"/>
        <v>46113</v>
      </c>
      <c r="D658" s="17" t="s">
        <v>977</v>
      </c>
      <c r="E658" s="17" t="s">
        <v>18</v>
      </c>
      <c r="F658" s="17" t="s">
        <v>30</v>
      </c>
      <c r="G658" s="21">
        <v>2</v>
      </c>
      <c r="H658" s="12">
        <v>153.21</v>
      </c>
      <c r="I658" s="22">
        <v>0</v>
      </c>
      <c r="J658" s="12">
        <f t="shared" si="21"/>
        <v>306.42</v>
      </c>
      <c r="K658" s="17" t="s">
        <v>59</v>
      </c>
    </row>
    <row r="659" spans="1:11" x14ac:dyDescent="0.25">
      <c r="A659" s="17" t="s">
        <v>978</v>
      </c>
      <c r="B659" s="19">
        <v>46114</v>
      </c>
      <c r="C659" s="20">
        <f t="shared" si="20"/>
        <v>46113</v>
      </c>
      <c r="D659" s="17" t="s">
        <v>73</v>
      </c>
      <c r="E659" s="17" t="s">
        <v>26</v>
      </c>
      <c r="F659" s="17" t="s">
        <v>30</v>
      </c>
      <c r="G659" s="21">
        <v>4</v>
      </c>
      <c r="H659" s="12">
        <v>24.61</v>
      </c>
      <c r="I659" s="22">
        <v>0</v>
      </c>
      <c r="J659" s="12">
        <f t="shared" si="21"/>
        <v>98.44</v>
      </c>
      <c r="K659" s="17" t="s">
        <v>59</v>
      </c>
    </row>
    <row r="660" spans="1:11" x14ac:dyDescent="0.25">
      <c r="A660" s="17" t="s">
        <v>979</v>
      </c>
      <c r="B660" s="19">
        <v>46114</v>
      </c>
      <c r="C660" s="20">
        <f t="shared" si="20"/>
        <v>46113</v>
      </c>
      <c r="D660" s="17" t="s">
        <v>172</v>
      </c>
      <c r="E660" s="17" t="s">
        <v>24</v>
      </c>
      <c r="F660" s="17" t="s">
        <v>30</v>
      </c>
      <c r="G660" s="21">
        <v>1</v>
      </c>
      <c r="H660" s="12">
        <v>35.909999999999997</v>
      </c>
      <c r="I660" s="22">
        <v>0</v>
      </c>
      <c r="J660" s="12">
        <f t="shared" si="21"/>
        <v>35.909999999999997</v>
      </c>
      <c r="K660" s="17" t="s">
        <v>59</v>
      </c>
    </row>
    <row r="661" spans="1:11" x14ac:dyDescent="0.25">
      <c r="A661" s="17" t="s">
        <v>980</v>
      </c>
      <c r="B661" s="19">
        <v>46114</v>
      </c>
      <c r="C661" s="20">
        <f t="shared" si="20"/>
        <v>46113</v>
      </c>
      <c r="D661" s="17" t="s">
        <v>480</v>
      </c>
      <c r="E661" s="17" t="s">
        <v>17</v>
      </c>
      <c r="F661" s="17" t="s">
        <v>30</v>
      </c>
      <c r="G661" s="21">
        <v>1</v>
      </c>
      <c r="H661" s="12">
        <v>224.01</v>
      </c>
      <c r="I661" s="22">
        <v>0</v>
      </c>
      <c r="J661" s="12">
        <f t="shared" si="21"/>
        <v>224.01</v>
      </c>
      <c r="K661" s="17" t="s">
        <v>43</v>
      </c>
    </row>
    <row r="662" spans="1:11" x14ac:dyDescent="0.25">
      <c r="A662" s="17" t="s">
        <v>981</v>
      </c>
      <c r="B662" s="19">
        <v>46114</v>
      </c>
      <c r="C662" s="20">
        <f t="shared" si="20"/>
        <v>46113</v>
      </c>
      <c r="D662" s="17" t="s">
        <v>106</v>
      </c>
      <c r="E662" s="17" t="s">
        <v>17</v>
      </c>
      <c r="F662" s="17" t="s">
        <v>31</v>
      </c>
      <c r="G662" s="21">
        <v>5</v>
      </c>
      <c r="H662" s="12">
        <v>220.17</v>
      </c>
      <c r="I662" s="22">
        <v>0.05</v>
      </c>
      <c r="J662" s="12">
        <f t="shared" si="21"/>
        <v>1045.81</v>
      </c>
      <c r="K662" s="17" t="s">
        <v>48</v>
      </c>
    </row>
    <row r="663" spans="1:11" x14ac:dyDescent="0.25">
      <c r="A663" s="17" t="s">
        <v>982</v>
      </c>
      <c r="B663" s="19">
        <v>46114</v>
      </c>
      <c r="C663" s="20">
        <f t="shared" si="20"/>
        <v>46113</v>
      </c>
      <c r="D663" s="17" t="s">
        <v>983</v>
      </c>
      <c r="E663" s="17" t="s">
        <v>16</v>
      </c>
      <c r="F663" s="17" t="s">
        <v>31</v>
      </c>
      <c r="G663" s="21">
        <v>1</v>
      </c>
      <c r="H663" s="12">
        <v>246.72</v>
      </c>
      <c r="I663" s="22">
        <v>0.15</v>
      </c>
      <c r="J663" s="12">
        <f t="shared" si="21"/>
        <v>209.71</v>
      </c>
      <c r="K663" s="17" t="s">
        <v>48</v>
      </c>
    </row>
    <row r="664" spans="1:11" x14ac:dyDescent="0.25">
      <c r="A664" s="17" t="s">
        <v>984</v>
      </c>
      <c r="B664" s="19">
        <v>46114</v>
      </c>
      <c r="C664" s="20">
        <f t="shared" si="20"/>
        <v>46113</v>
      </c>
      <c r="D664" s="17" t="s">
        <v>920</v>
      </c>
      <c r="E664" s="17" t="s">
        <v>22</v>
      </c>
      <c r="F664" s="17" t="s">
        <v>31</v>
      </c>
      <c r="G664" s="21">
        <v>1</v>
      </c>
      <c r="H664" s="12">
        <v>101.59</v>
      </c>
      <c r="I664" s="22">
        <v>0.1</v>
      </c>
      <c r="J664" s="12">
        <f t="shared" si="21"/>
        <v>91.43</v>
      </c>
      <c r="K664" s="17" t="s">
        <v>48</v>
      </c>
    </row>
    <row r="665" spans="1:11" x14ac:dyDescent="0.25">
      <c r="A665" s="17" t="s">
        <v>985</v>
      </c>
      <c r="B665" s="19">
        <v>46115</v>
      </c>
      <c r="C665" s="20">
        <f t="shared" si="20"/>
        <v>46113</v>
      </c>
      <c r="D665" s="17" t="s">
        <v>157</v>
      </c>
      <c r="E665" s="17" t="s">
        <v>24</v>
      </c>
      <c r="F665" s="17" t="s">
        <v>30</v>
      </c>
      <c r="G665" s="21">
        <v>1</v>
      </c>
      <c r="H665" s="12">
        <v>34.46</v>
      </c>
      <c r="I665" s="22">
        <v>0.05</v>
      </c>
      <c r="J665" s="12">
        <f t="shared" si="21"/>
        <v>32.74</v>
      </c>
      <c r="K665" s="17" t="s">
        <v>59</v>
      </c>
    </row>
    <row r="666" spans="1:11" x14ac:dyDescent="0.25">
      <c r="A666" s="17" t="s">
        <v>986</v>
      </c>
      <c r="B666" s="19">
        <v>46115</v>
      </c>
      <c r="C666" s="20">
        <f t="shared" si="20"/>
        <v>46113</v>
      </c>
      <c r="D666" s="17" t="s">
        <v>357</v>
      </c>
      <c r="E666" s="17" t="s">
        <v>21</v>
      </c>
      <c r="F666" s="17" t="s">
        <v>30</v>
      </c>
      <c r="G666" s="21">
        <v>4</v>
      </c>
      <c r="H666" s="12">
        <v>77.75</v>
      </c>
      <c r="I666" s="22">
        <v>0.05</v>
      </c>
      <c r="J666" s="12">
        <f t="shared" si="21"/>
        <v>295.45</v>
      </c>
      <c r="K666" s="17" t="s">
        <v>43</v>
      </c>
    </row>
    <row r="667" spans="1:11" x14ac:dyDescent="0.25">
      <c r="A667" s="17" t="s">
        <v>987</v>
      </c>
      <c r="B667" s="19">
        <v>46115</v>
      </c>
      <c r="C667" s="20">
        <f t="shared" si="20"/>
        <v>46113</v>
      </c>
      <c r="D667" s="17" t="s">
        <v>210</v>
      </c>
      <c r="E667" s="17" t="s">
        <v>24</v>
      </c>
      <c r="F667" s="17" t="s">
        <v>30</v>
      </c>
      <c r="G667" s="21">
        <v>2</v>
      </c>
      <c r="H667" s="12">
        <v>34.01</v>
      </c>
      <c r="I667" s="22">
        <v>0.1</v>
      </c>
      <c r="J667" s="12">
        <f t="shared" si="21"/>
        <v>61.22</v>
      </c>
      <c r="K667" s="17" t="s">
        <v>43</v>
      </c>
    </row>
    <row r="668" spans="1:11" x14ac:dyDescent="0.25">
      <c r="A668" s="17" t="s">
        <v>988</v>
      </c>
      <c r="B668" s="19">
        <v>46115</v>
      </c>
      <c r="C668" s="20">
        <f t="shared" si="20"/>
        <v>46113</v>
      </c>
      <c r="D668" s="17" t="s">
        <v>892</v>
      </c>
      <c r="E668" s="17" t="s">
        <v>24</v>
      </c>
      <c r="F668" s="17" t="s">
        <v>31</v>
      </c>
      <c r="G668" s="21">
        <v>1</v>
      </c>
      <c r="H668" s="12">
        <v>34.83</v>
      </c>
      <c r="I668" s="22">
        <v>0</v>
      </c>
      <c r="J668" s="12">
        <f t="shared" si="21"/>
        <v>34.83</v>
      </c>
      <c r="K668" s="17" t="s">
        <v>48</v>
      </c>
    </row>
    <row r="669" spans="1:11" x14ac:dyDescent="0.25">
      <c r="A669" s="17" t="s">
        <v>989</v>
      </c>
      <c r="B669" s="19">
        <v>46115</v>
      </c>
      <c r="C669" s="20">
        <f t="shared" si="20"/>
        <v>46113</v>
      </c>
      <c r="D669" s="17" t="s">
        <v>153</v>
      </c>
      <c r="E669" s="17" t="s">
        <v>20</v>
      </c>
      <c r="F669" s="17" t="s">
        <v>31</v>
      </c>
      <c r="G669" s="21">
        <v>4</v>
      </c>
      <c r="H669" s="12">
        <v>88.8</v>
      </c>
      <c r="I669" s="22">
        <v>0.15</v>
      </c>
      <c r="J669" s="12">
        <f t="shared" si="21"/>
        <v>301.92</v>
      </c>
      <c r="K669" s="17" t="s">
        <v>48</v>
      </c>
    </row>
    <row r="670" spans="1:11" x14ac:dyDescent="0.25">
      <c r="A670" s="17" t="s">
        <v>990</v>
      </c>
      <c r="B670" s="19">
        <v>46116</v>
      </c>
      <c r="C670" s="20">
        <f t="shared" si="20"/>
        <v>46113</v>
      </c>
      <c r="D670" s="17" t="s">
        <v>460</v>
      </c>
      <c r="E670" s="17" t="s">
        <v>26</v>
      </c>
      <c r="F670" s="17" t="s">
        <v>30</v>
      </c>
      <c r="G670" s="21">
        <v>2</v>
      </c>
      <c r="H670" s="12">
        <v>24.67</v>
      </c>
      <c r="I670" s="22">
        <v>0</v>
      </c>
      <c r="J670" s="12">
        <f t="shared" si="21"/>
        <v>49.34</v>
      </c>
      <c r="K670" s="17" t="s">
        <v>59</v>
      </c>
    </row>
    <row r="671" spans="1:11" x14ac:dyDescent="0.25">
      <c r="A671" s="17" t="s">
        <v>991</v>
      </c>
      <c r="B671" s="19">
        <v>46116</v>
      </c>
      <c r="C671" s="20">
        <f t="shared" si="20"/>
        <v>46113</v>
      </c>
      <c r="D671" s="17" t="s">
        <v>699</v>
      </c>
      <c r="E671" s="17" t="s">
        <v>27</v>
      </c>
      <c r="F671" s="17" t="s">
        <v>30</v>
      </c>
      <c r="G671" s="21">
        <v>2</v>
      </c>
      <c r="H671" s="12">
        <v>13.09</v>
      </c>
      <c r="I671" s="22">
        <v>0.15</v>
      </c>
      <c r="J671" s="12">
        <f t="shared" si="21"/>
        <v>22.25</v>
      </c>
      <c r="K671" s="17" t="s">
        <v>59</v>
      </c>
    </row>
    <row r="672" spans="1:11" x14ac:dyDescent="0.25">
      <c r="A672" s="17" t="s">
        <v>992</v>
      </c>
      <c r="B672" s="19">
        <v>46116</v>
      </c>
      <c r="C672" s="20">
        <f t="shared" si="20"/>
        <v>46113</v>
      </c>
      <c r="D672" s="17" t="s">
        <v>301</v>
      </c>
      <c r="E672" s="17" t="s">
        <v>19</v>
      </c>
      <c r="F672" s="17" t="s">
        <v>30</v>
      </c>
      <c r="G672" s="21">
        <v>2</v>
      </c>
      <c r="H672" s="12">
        <v>129.87</v>
      </c>
      <c r="I672" s="22">
        <v>0.05</v>
      </c>
      <c r="J672" s="12">
        <f t="shared" si="21"/>
        <v>246.75</v>
      </c>
      <c r="K672" s="17" t="s">
        <v>59</v>
      </c>
    </row>
    <row r="673" spans="1:11" x14ac:dyDescent="0.25">
      <c r="A673" s="17" t="s">
        <v>993</v>
      </c>
      <c r="B673" s="19">
        <v>46116</v>
      </c>
      <c r="C673" s="20">
        <f t="shared" si="20"/>
        <v>46113</v>
      </c>
      <c r="D673" s="17" t="s">
        <v>994</v>
      </c>
      <c r="E673" s="17" t="s">
        <v>27</v>
      </c>
      <c r="F673" s="17" t="s">
        <v>30</v>
      </c>
      <c r="G673" s="21">
        <v>1</v>
      </c>
      <c r="H673" s="12">
        <v>13.11</v>
      </c>
      <c r="I673" s="22">
        <v>0.15</v>
      </c>
      <c r="J673" s="12">
        <f t="shared" si="21"/>
        <v>11.14</v>
      </c>
      <c r="K673" s="17" t="s">
        <v>59</v>
      </c>
    </row>
    <row r="674" spans="1:11" x14ac:dyDescent="0.25">
      <c r="A674" s="17" t="s">
        <v>995</v>
      </c>
      <c r="B674" s="19">
        <v>46116</v>
      </c>
      <c r="C674" s="20">
        <f t="shared" si="20"/>
        <v>46113</v>
      </c>
      <c r="D674" s="17" t="s">
        <v>289</v>
      </c>
      <c r="E674" s="17" t="s">
        <v>19</v>
      </c>
      <c r="F674" s="17" t="s">
        <v>30</v>
      </c>
      <c r="G674" s="21">
        <v>1</v>
      </c>
      <c r="H674" s="12">
        <v>131.29</v>
      </c>
      <c r="I674" s="22">
        <v>0</v>
      </c>
      <c r="J674" s="12">
        <f t="shared" si="21"/>
        <v>131.29</v>
      </c>
      <c r="K674" s="17" t="s">
        <v>43</v>
      </c>
    </row>
    <row r="675" spans="1:11" x14ac:dyDescent="0.25">
      <c r="A675" s="17" t="s">
        <v>996</v>
      </c>
      <c r="B675" s="19">
        <v>46117</v>
      </c>
      <c r="C675" s="20">
        <f t="shared" si="20"/>
        <v>46113</v>
      </c>
      <c r="D675" s="17" t="s">
        <v>651</v>
      </c>
      <c r="E675" s="17" t="s">
        <v>22</v>
      </c>
      <c r="F675" s="17" t="s">
        <v>30</v>
      </c>
      <c r="G675" s="21">
        <v>4</v>
      </c>
      <c r="H675" s="12">
        <v>99.64</v>
      </c>
      <c r="I675" s="22">
        <v>0</v>
      </c>
      <c r="J675" s="12">
        <f t="shared" si="21"/>
        <v>398.56</v>
      </c>
      <c r="K675" s="17" t="s">
        <v>59</v>
      </c>
    </row>
    <row r="676" spans="1:11" x14ac:dyDescent="0.25">
      <c r="A676" s="17" t="s">
        <v>997</v>
      </c>
      <c r="B676" s="19">
        <v>46117</v>
      </c>
      <c r="C676" s="20">
        <f t="shared" si="20"/>
        <v>46113</v>
      </c>
      <c r="D676" s="17" t="s">
        <v>651</v>
      </c>
      <c r="E676" s="17" t="s">
        <v>27</v>
      </c>
      <c r="F676" s="17" t="s">
        <v>30</v>
      </c>
      <c r="G676" s="21">
        <v>5</v>
      </c>
      <c r="H676" s="12">
        <v>13.37</v>
      </c>
      <c r="I676" s="22">
        <v>0.1</v>
      </c>
      <c r="J676" s="12">
        <f t="shared" si="21"/>
        <v>60.17</v>
      </c>
      <c r="K676" s="17" t="s">
        <v>43</v>
      </c>
    </row>
    <row r="677" spans="1:11" x14ac:dyDescent="0.25">
      <c r="A677" s="17" t="s">
        <v>998</v>
      </c>
      <c r="B677" s="19">
        <v>46117</v>
      </c>
      <c r="C677" s="20">
        <f t="shared" si="20"/>
        <v>46113</v>
      </c>
      <c r="D677" s="17" t="s">
        <v>999</v>
      </c>
      <c r="E677" s="17" t="s">
        <v>22</v>
      </c>
      <c r="F677" s="17" t="s">
        <v>30</v>
      </c>
      <c r="G677" s="21">
        <v>2</v>
      </c>
      <c r="H677" s="12">
        <v>101.18</v>
      </c>
      <c r="I677" s="22">
        <v>0.15</v>
      </c>
      <c r="J677" s="12">
        <f t="shared" si="21"/>
        <v>172.01</v>
      </c>
      <c r="K677" s="17" t="s">
        <v>43</v>
      </c>
    </row>
    <row r="678" spans="1:11" x14ac:dyDescent="0.25">
      <c r="A678" s="17" t="s">
        <v>1000</v>
      </c>
      <c r="B678" s="19">
        <v>46117</v>
      </c>
      <c r="C678" s="20">
        <f t="shared" si="20"/>
        <v>46113</v>
      </c>
      <c r="D678" s="17" t="s">
        <v>227</v>
      </c>
      <c r="E678" s="17" t="s">
        <v>24</v>
      </c>
      <c r="F678" s="17" t="s">
        <v>30</v>
      </c>
      <c r="G678" s="21">
        <v>3</v>
      </c>
      <c r="H678" s="12">
        <v>35.28</v>
      </c>
      <c r="I678" s="22">
        <v>0.05</v>
      </c>
      <c r="J678" s="12">
        <f t="shared" si="21"/>
        <v>100.55</v>
      </c>
      <c r="K678" s="17" t="s">
        <v>43</v>
      </c>
    </row>
    <row r="679" spans="1:11" x14ac:dyDescent="0.25">
      <c r="A679" s="17" t="s">
        <v>1001</v>
      </c>
      <c r="B679" s="19">
        <v>46117</v>
      </c>
      <c r="C679" s="20">
        <f t="shared" si="20"/>
        <v>46113</v>
      </c>
      <c r="D679" s="17" t="s">
        <v>911</v>
      </c>
      <c r="E679" s="17" t="s">
        <v>17</v>
      </c>
      <c r="F679" s="17" t="s">
        <v>31</v>
      </c>
      <c r="G679" s="21">
        <v>5</v>
      </c>
      <c r="H679" s="12">
        <v>214.21</v>
      </c>
      <c r="I679" s="22">
        <v>0.15</v>
      </c>
      <c r="J679" s="12">
        <f t="shared" si="21"/>
        <v>910.39</v>
      </c>
      <c r="K679" s="17" t="s">
        <v>48</v>
      </c>
    </row>
    <row r="680" spans="1:11" x14ac:dyDescent="0.25">
      <c r="A680" s="17" t="s">
        <v>1002</v>
      </c>
      <c r="B680" s="19">
        <v>46118</v>
      </c>
      <c r="C680" s="20">
        <f t="shared" si="20"/>
        <v>46113</v>
      </c>
      <c r="D680" s="17" t="s">
        <v>539</v>
      </c>
      <c r="E680" s="17" t="s">
        <v>25</v>
      </c>
      <c r="F680" s="17" t="s">
        <v>30</v>
      </c>
      <c r="G680" s="21">
        <v>1</v>
      </c>
      <c r="H680" s="12">
        <v>29.46</v>
      </c>
      <c r="I680" s="22">
        <v>0.05</v>
      </c>
      <c r="J680" s="12">
        <f t="shared" si="21"/>
        <v>27.99</v>
      </c>
      <c r="K680" s="17" t="s">
        <v>59</v>
      </c>
    </row>
    <row r="681" spans="1:11" x14ac:dyDescent="0.25">
      <c r="A681" s="17" t="s">
        <v>1003</v>
      </c>
      <c r="B681" s="19">
        <v>46118</v>
      </c>
      <c r="C681" s="20">
        <f t="shared" si="20"/>
        <v>46113</v>
      </c>
      <c r="D681" s="17" t="s">
        <v>502</v>
      </c>
      <c r="E681" s="17" t="s">
        <v>18</v>
      </c>
      <c r="F681" s="17" t="s">
        <v>30</v>
      </c>
      <c r="G681" s="21">
        <v>3</v>
      </c>
      <c r="H681" s="12">
        <v>149.69</v>
      </c>
      <c r="I681" s="22">
        <v>0</v>
      </c>
      <c r="J681" s="12">
        <f t="shared" si="21"/>
        <v>449.07</v>
      </c>
      <c r="K681" s="17" t="s">
        <v>59</v>
      </c>
    </row>
    <row r="682" spans="1:11" x14ac:dyDescent="0.25">
      <c r="A682" s="17" t="s">
        <v>1004</v>
      </c>
      <c r="B682" s="19">
        <v>46118</v>
      </c>
      <c r="C682" s="20">
        <f t="shared" si="20"/>
        <v>46113</v>
      </c>
      <c r="D682" s="17" t="s">
        <v>506</v>
      </c>
      <c r="E682" s="17" t="s">
        <v>18</v>
      </c>
      <c r="F682" s="17" t="s">
        <v>30</v>
      </c>
      <c r="G682" s="21">
        <v>1</v>
      </c>
      <c r="H682" s="12">
        <v>152.4</v>
      </c>
      <c r="I682" s="22">
        <v>0.05</v>
      </c>
      <c r="J682" s="12">
        <f t="shared" si="21"/>
        <v>144.78</v>
      </c>
      <c r="K682" s="17" t="s">
        <v>59</v>
      </c>
    </row>
    <row r="683" spans="1:11" x14ac:dyDescent="0.25">
      <c r="A683" s="17" t="s">
        <v>1005</v>
      </c>
      <c r="B683" s="19">
        <v>46118</v>
      </c>
      <c r="C683" s="20">
        <f t="shared" si="20"/>
        <v>46113</v>
      </c>
      <c r="D683" s="17" t="s">
        <v>786</v>
      </c>
      <c r="E683" s="17" t="s">
        <v>16</v>
      </c>
      <c r="F683" s="17" t="s">
        <v>30</v>
      </c>
      <c r="G683" s="21">
        <v>1</v>
      </c>
      <c r="H683" s="12">
        <v>255.13</v>
      </c>
      <c r="I683" s="22">
        <v>0.1</v>
      </c>
      <c r="J683" s="12">
        <f t="shared" si="21"/>
        <v>229.62</v>
      </c>
      <c r="K683" s="17" t="s">
        <v>43</v>
      </c>
    </row>
    <row r="684" spans="1:11" x14ac:dyDescent="0.25">
      <c r="A684" s="17" t="s">
        <v>1006</v>
      </c>
      <c r="B684" s="19">
        <v>46118</v>
      </c>
      <c r="C684" s="20">
        <f t="shared" si="20"/>
        <v>46113</v>
      </c>
      <c r="D684" s="17" t="s">
        <v>868</v>
      </c>
      <c r="E684" s="17" t="s">
        <v>20</v>
      </c>
      <c r="F684" s="17" t="s">
        <v>31</v>
      </c>
      <c r="G684" s="21">
        <v>1</v>
      </c>
      <c r="H684" s="12">
        <v>91.15</v>
      </c>
      <c r="I684" s="22">
        <v>0.05</v>
      </c>
      <c r="J684" s="12">
        <f t="shared" si="21"/>
        <v>86.59</v>
      </c>
      <c r="K684" s="17" t="s">
        <v>48</v>
      </c>
    </row>
    <row r="685" spans="1:11" x14ac:dyDescent="0.25">
      <c r="A685" s="17" t="s">
        <v>1007</v>
      </c>
      <c r="B685" s="19">
        <v>46118</v>
      </c>
      <c r="C685" s="20">
        <f t="shared" si="20"/>
        <v>46113</v>
      </c>
      <c r="D685" s="17" t="s">
        <v>1008</v>
      </c>
      <c r="E685" s="17" t="s">
        <v>27</v>
      </c>
      <c r="F685" s="17" t="s">
        <v>31</v>
      </c>
      <c r="G685" s="21">
        <v>3</v>
      </c>
      <c r="H685" s="12">
        <v>12.7</v>
      </c>
      <c r="I685" s="22">
        <v>0</v>
      </c>
      <c r="J685" s="12">
        <f t="shared" si="21"/>
        <v>38.1</v>
      </c>
      <c r="K685" s="17" t="s">
        <v>48</v>
      </c>
    </row>
    <row r="686" spans="1:11" x14ac:dyDescent="0.25">
      <c r="A686" s="17" t="s">
        <v>1009</v>
      </c>
      <c r="B686" s="19">
        <v>46118</v>
      </c>
      <c r="C686" s="20">
        <f t="shared" si="20"/>
        <v>46113</v>
      </c>
      <c r="D686" s="17" t="s">
        <v>829</v>
      </c>
      <c r="E686" s="17" t="s">
        <v>20</v>
      </c>
      <c r="F686" s="17" t="s">
        <v>31</v>
      </c>
      <c r="G686" s="21">
        <v>4</v>
      </c>
      <c r="H686" s="12">
        <v>87.5</v>
      </c>
      <c r="I686" s="22">
        <v>0</v>
      </c>
      <c r="J686" s="12">
        <f t="shared" si="21"/>
        <v>350</v>
      </c>
      <c r="K686" s="17" t="s">
        <v>48</v>
      </c>
    </row>
    <row r="687" spans="1:11" x14ac:dyDescent="0.25">
      <c r="A687" s="17" t="s">
        <v>1010</v>
      </c>
      <c r="B687" s="19">
        <v>46118</v>
      </c>
      <c r="C687" s="20">
        <f t="shared" si="20"/>
        <v>46113</v>
      </c>
      <c r="D687" s="17" t="s">
        <v>684</v>
      </c>
      <c r="E687" s="17" t="s">
        <v>27</v>
      </c>
      <c r="F687" s="17" t="s">
        <v>31</v>
      </c>
      <c r="G687" s="21">
        <v>1</v>
      </c>
      <c r="H687" s="12">
        <v>13.09</v>
      </c>
      <c r="I687" s="22">
        <v>0.1</v>
      </c>
      <c r="J687" s="12">
        <f t="shared" si="21"/>
        <v>11.78</v>
      </c>
      <c r="K687" s="17" t="s">
        <v>48</v>
      </c>
    </row>
    <row r="688" spans="1:11" x14ac:dyDescent="0.25">
      <c r="A688" s="17" t="s">
        <v>1011</v>
      </c>
      <c r="B688" s="19">
        <v>46118</v>
      </c>
      <c r="C688" s="20">
        <f t="shared" si="20"/>
        <v>46113</v>
      </c>
      <c r="D688" s="17" t="s">
        <v>522</v>
      </c>
      <c r="E688" s="17" t="s">
        <v>25</v>
      </c>
      <c r="F688" s="17" t="s">
        <v>31</v>
      </c>
      <c r="G688" s="21">
        <v>2</v>
      </c>
      <c r="H688" s="12">
        <v>30.12</v>
      </c>
      <c r="I688" s="22">
        <v>0</v>
      </c>
      <c r="J688" s="12">
        <f t="shared" si="21"/>
        <v>60.24</v>
      </c>
      <c r="K688" s="17" t="s">
        <v>48</v>
      </c>
    </row>
    <row r="689" spans="1:11" x14ac:dyDescent="0.25">
      <c r="A689" s="17" t="s">
        <v>1012</v>
      </c>
      <c r="B689" s="19">
        <v>46118</v>
      </c>
      <c r="C689" s="20">
        <f t="shared" si="20"/>
        <v>46113</v>
      </c>
      <c r="D689" s="17" t="s">
        <v>1013</v>
      </c>
      <c r="E689" s="17" t="s">
        <v>26</v>
      </c>
      <c r="F689" s="17" t="s">
        <v>31</v>
      </c>
      <c r="G689" s="21">
        <v>2</v>
      </c>
      <c r="H689" s="12">
        <v>24.14</v>
      </c>
      <c r="I689" s="22">
        <v>0.1</v>
      </c>
      <c r="J689" s="12">
        <f t="shared" si="21"/>
        <v>43.45</v>
      </c>
      <c r="K689" s="17" t="s">
        <v>48</v>
      </c>
    </row>
    <row r="690" spans="1:11" x14ac:dyDescent="0.25">
      <c r="A690" s="17" t="s">
        <v>1014</v>
      </c>
      <c r="B690" s="19">
        <v>46118</v>
      </c>
      <c r="C690" s="20">
        <f t="shared" si="20"/>
        <v>46113</v>
      </c>
      <c r="D690" s="17" t="s">
        <v>223</v>
      </c>
      <c r="E690" s="17" t="s">
        <v>25</v>
      </c>
      <c r="F690" s="17" t="s">
        <v>31</v>
      </c>
      <c r="G690" s="21">
        <v>1</v>
      </c>
      <c r="H690" s="12">
        <v>30.15</v>
      </c>
      <c r="I690" s="22">
        <v>0.1</v>
      </c>
      <c r="J690" s="12">
        <f t="shared" si="21"/>
        <v>27.14</v>
      </c>
      <c r="K690" s="17" t="s">
        <v>48</v>
      </c>
    </row>
    <row r="691" spans="1:11" x14ac:dyDescent="0.25">
      <c r="A691" s="17" t="s">
        <v>1015</v>
      </c>
      <c r="B691" s="19">
        <v>46119</v>
      </c>
      <c r="C691" s="20">
        <f t="shared" si="20"/>
        <v>46113</v>
      </c>
      <c r="D691" s="17" t="s">
        <v>699</v>
      </c>
      <c r="E691" s="17" t="s">
        <v>22</v>
      </c>
      <c r="F691" s="17" t="s">
        <v>30</v>
      </c>
      <c r="G691" s="21">
        <v>2</v>
      </c>
      <c r="H691" s="12">
        <v>96.26</v>
      </c>
      <c r="I691" s="22">
        <v>0.15</v>
      </c>
      <c r="J691" s="12">
        <f t="shared" si="21"/>
        <v>163.63999999999999</v>
      </c>
      <c r="K691" s="17" t="s">
        <v>59</v>
      </c>
    </row>
    <row r="692" spans="1:11" x14ac:dyDescent="0.25">
      <c r="A692" s="17" t="s">
        <v>1016</v>
      </c>
      <c r="B692" s="19">
        <v>46119</v>
      </c>
      <c r="C692" s="20">
        <f t="shared" si="20"/>
        <v>46113</v>
      </c>
      <c r="D692" s="17" t="s">
        <v>78</v>
      </c>
      <c r="E692" s="17" t="s">
        <v>23</v>
      </c>
      <c r="F692" s="17" t="s">
        <v>30</v>
      </c>
      <c r="G692" s="21">
        <v>5</v>
      </c>
      <c r="H692" s="12">
        <v>59.64</v>
      </c>
      <c r="I692" s="22">
        <v>0</v>
      </c>
      <c r="J692" s="12">
        <f t="shared" si="21"/>
        <v>298.2</v>
      </c>
      <c r="K692" s="17" t="s">
        <v>43</v>
      </c>
    </row>
    <row r="693" spans="1:11" x14ac:dyDescent="0.25">
      <c r="A693" s="17" t="s">
        <v>1017</v>
      </c>
      <c r="B693" s="19">
        <v>46119</v>
      </c>
      <c r="C693" s="20">
        <f t="shared" si="20"/>
        <v>46113</v>
      </c>
      <c r="D693" s="17" t="s">
        <v>924</v>
      </c>
      <c r="E693" s="17" t="s">
        <v>16</v>
      </c>
      <c r="F693" s="17" t="s">
        <v>30</v>
      </c>
      <c r="G693" s="21">
        <v>1</v>
      </c>
      <c r="H693" s="12">
        <v>242.02</v>
      </c>
      <c r="I693" s="22">
        <v>0</v>
      </c>
      <c r="J693" s="12">
        <f t="shared" si="21"/>
        <v>242.02</v>
      </c>
      <c r="K693" s="17" t="s">
        <v>43</v>
      </c>
    </row>
    <row r="694" spans="1:11" x14ac:dyDescent="0.25">
      <c r="A694" s="17" t="s">
        <v>1018</v>
      </c>
      <c r="B694" s="19">
        <v>46119</v>
      </c>
      <c r="C694" s="20">
        <f t="shared" si="20"/>
        <v>46113</v>
      </c>
      <c r="D694" s="17" t="s">
        <v>529</v>
      </c>
      <c r="E694" s="17" t="s">
        <v>19</v>
      </c>
      <c r="F694" s="17" t="s">
        <v>31</v>
      </c>
      <c r="G694" s="21">
        <v>2</v>
      </c>
      <c r="H694" s="12">
        <v>128.24</v>
      </c>
      <c r="I694" s="22">
        <v>0.15</v>
      </c>
      <c r="J694" s="12">
        <f t="shared" si="21"/>
        <v>218.01</v>
      </c>
      <c r="K694" s="17" t="s">
        <v>48</v>
      </c>
    </row>
    <row r="695" spans="1:11" x14ac:dyDescent="0.25">
      <c r="A695" s="17" t="s">
        <v>1019</v>
      </c>
      <c r="B695" s="19">
        <v>46119</v>
      </c>
      <c r="C695" s="20">
        <f t="shared" si="20"/>
        <v>46113</v>
      </c>
      <c r="D695" s="17" t="s">
        <v>631</v>
      </c>
      <c r="E695" s="17" t="s">
        <v>20</v>
      </c>
      <c r="F695" s="17" t="s">
        <v>31</v>
      </c>
      <c r="G695" s="21">
        <v>1</v>
      </c>
      <c r="H695" s="12">
        <v>89.97</v>
      </c>
      <c r="I695" s="22">
        <v>0.1</v>
      </c>
      <c r="J695" s="12">
        <f t="shared" si="21"/>
        <v>80.97</v>
      </c>
      <c r="K695" s="17" t="s">
        <v>48</v>
      </c>
    </row>
    <row r="696" spans="1:11" x14ac:dyDescent="0.25">
      <c r="A696" s="17" t="s">
        <v>1020</v>
      </c>
      <c r="B696" s="19">
        <v>46119</v>
      </c>
      <c r="C696" s="20">
        <f t="shared" si="20"/>
        <v>46113</v>
      </c>
      <c r="D696" s="17" t="s">
        <v>63</v>
      </c>
      <c r="E696" s="17" t="s">
        <v>19</v>
      </c>
      <c r="F696" s="17" t="s">
        <v>31</v>
      </c>
      <c r="G696" s="21">
        <v>1</v>
      </c>
      <c r="H696" s="12">
        <v>127.62</v>
      </c>
      <c r="I696" s="22">
        <v>0</v>
      </c>
      <c r="J696" s="12">
        <f t="shared" si="21"/>
        <v>127.62</v>
      </c>
      <c r="K696" s="17" t="s">
        <v>48</v>
      </c>
    </row>
    <row r="697" spans="1:11" x14ac:dyDescent="0.25">
      <c r="A697" s="17" t="s">
        <v>1021</v>
      </c>
      <c r="B697" s="19">
        <v>46120</v>
      </c>
      <c r="C697" s="20">
        <f t="shared" si="20"/>
        <v>46113</v>
      </c>
      <c r="D697" s="17" t="s">
        <v>229</v>
      </c>
      <c r="E697" s="17" t="s">
        <v>18</v>
      </c>
      <c r="F697" s="17" t="s">
        <v>30</v>
      </c>
      <c r="G697" s="21">
        <v>2</v>
      </c>
      <c r="H697" s="12">
        <v>150.74</v>
      </c>
      <c r="I697" s="22">
        <v>0.05</v>
      </c>
      <c r="J697" s="12">
        <f t="shared" si="21"/>
        <v>286.41000000000003</v>
      </c>
      <c r="K697" s="17" t="s">
        <v>43</v>
      </c>
    </row>
    <row r="698" spans="1:11" x14ac:dyDescent="0.25">
      <c r="A698" s="17" t="s">
        <v>1022</v>
      </c>
      <c r="B698" s="19">
        <v>46120</v>
      </c>
      <c r="C698" s="20">
        <f t="shared" si="20"/>
        <v>46113</v>
      </c>
      <c r="D698" s="17" t="s">
        <v>1023</v>
      </c>
      <c r="E698" s="17" t="s">
        <v>17</v>
      </c>
      <c r="F698" s="17" t="s">
        <v>31</v>
      </c>
      <c r="G698" s="21">
        <v>5</v>
      </c>
      <c r="H698" s="12">
        <v>220.92</v>
      </c>
      <c r="I698" s="22">
        <v>0.05</v>
      </c>
      <c r="J698" s="12">
        <f t="shared" si="21"/>
        <v>1049.3699999999999</v>
      </c>
      <c r="K698" s="17" t="s">
        <v>48</v>
      </c>
    </row>
    <row r="699" spans="1:11" x14ac:dyDescent="0.25">
      <c r="A699" s="17" t="s">
        <v>1024</v>
      </c>
      <c r="B699" s="19">
        <v>46120</v>
      </c>
      <c r="C699" s="20">
        <f t="shared" si="20"/>
        <v>46113</v>
      </c>
      <c r="D699" s="17" t="s">
        <v>649</v>
      </c>
      <c r="E699" s="17" t="s">
        <v>20</v>
      </c>
      <c r="F699" s="17" t="s">
        <v>31</v>
      </c>
      <c r="G699" s="21">
        <v>1</v>
      </c>
      <c r="H699" s="12">
        <v>89.43</v>
      </c>
      <c r="I699" s="22">
        <v>0</v>
      </c>
      <c r="J699" s="12">
        <f t="shared" si="21"/>
        <v>89.43</v>
      </c>
      <c r="K699" s="17" t="s">
        <v>48</v>
      </c>
    </row>
    <row r="700" spans="1:11" x14ac:dyDescent="0.25">
      <c r="A700" s="17" t="s">
        <v>1025</v>
      </c>
      <c r="B700" s="19">
        <v>46120</v>
      </c>
      <c r="C700" s="20">
        <f t="shared" si="20"/>
        <v>46113</v>
      </c>
      <c r="D700" s="17" t="s">
        <v>1026</v>
      </c>
      <c r="E700" s="17" t="s">
        <v>21</v>
      </c>
      <c r="F700" s="17" t="s">
        <v>31</v>
      </c>
      <c r="G700" s="21">
        <v>1</v>
      </c>
      <c r="H700" s="12">
        <v>79.27</v>
      </c>
      <c r="I700" s="22">
        <v>0.15</v>
      </c>
      <c r="J700" s="12">
        <f t="shared" si="21"/>
        <v>67.38</v>
      </c>
      <c r="K700" s="17" t="s">
        <v>48</v>
      </c>
    </row>
    <row r="701" spans="1:11" x14ac:dyDescent="0.25">
      <c r="A701" s="17" t="s">
        <v>1027</v>
      </c>
      <c r="B701" s="19">
        <v>46120</v>
      </c>
      <c r="C701" s="20">
        <f t="shared" si="20"/>
        <v>46113</v>
      </c>
      <c r="D701" s="17" t="s">
        <v>183</v>
      </c>
      <c r="E701" s="17" t="s">
        <v>23</v>
      </c>
      <c r="F701" s="17" t="s">
        <v>31</v>
      </c>
      <c r="G701" s="21">
        <v>1</v>
      </c>
      <c r="H701" s="12">
        <v>60.11</v>
      </c>
      <c r="I701" s="22">
        <v>0.15</v>
      </c>
      <c r="J701" s="12">
        <f t="shared" si="21"/>
        <v>51.09</v>
      </c>
      <c r="K701" s="17" t="s">
        <v>48</v>
      </c>
    </row>
    <row r="702" spans="1:11" x14ac:dyDescent="0.25">
      <c r="A702" s="17" t="s">
        <v>1028</v>
      </c>
      <c r="B702" s="19">
        <v>46121</v>
      </c>
      <c r="C702" s="20">
        <f t="shared" si="20"/>
        <v>46113</v>
      </c>
      <c r="D702" s="17" t="s">
        <v>579</v>
      </c>
      <c r="E702" s="17" t="s">
        <v>24</v>
      </c>
      <c r="F702" s="17" t="s">
        <v>30</v>
      </c>
      <c r="G702" s="21">
        <v>1</v>
      </c>
      <c r="H702" s="12">
        <v>34.29</v>
      </c>
      <c r="I702" s="22">
        <v>0</v>
      </c>
      <c r="J702" s="12">
        <f t="shared" si="21"/>
        <v>34.29</v>
      </c>
      <c r="K702" s="17" t="s">
        <v>43</v>
      </c>
    </row>
    <row r="703" spans="1:11" x14ac:dyDescent="0.25">
      <c r="A703" s="17" t="s">
        <v>1029</v>
      </c>
      <c r="B703" s="19">
        <v>46122</v>
      </c>
      <c r="C703" s="20">
        <f t="shared" si="20"/>
        <v>46113</v>
      </c>
      <c r="D703" s="17" t="s">
        <v>483</v>
      </c>
      <c r="E703" s="17" t="s">
        <v>27</v>
      </c>
      <c r="F703" s="17" t="s">
        <v>30</v>
      </c>
      <c r="G703" s="21">
        <v>1</v>
      </c>
      <c r="H703" s="12">
        <v>12.8</v>
      </c>
      <c r="I703" s="22">
        <v>0</v>
      </c>
      <c r="J703" s="12">
        <f t="shared" si="21"/>
        <v>12.8</v>
      </c>
      <c r="K703" s="17" t="s">
        <v>59</v>
      </c>
    </row>
    <row r="704" spans="1:11" x14ac:dyDescent="0.25">
      <c r="A704" s="17" t="s">
        <v>1030</v>
      </c>
      <c r="B704" s="19">
        <v>46122</v>
      </c>
      <c r="C704" s="20">
        <f t="shared" si="20"/>
        <v>46113</v>
      </c>
      <c r="D704" s="17" t="s">
        <v>594</v>
      </c>
      <c r="E704" s="17" t="s">
        <v>24</v>
      </c>
      <c r="F704" s="17" t="s">
        <v>30</v>
      </c>
      <c r="G704" s="21">
        <v>5</v>
      </c>
      <c r="H704" s="12">
        <v>34.74</v>
      </c>
      <c r="I704" s="22">
        <v>0.05</v>
      </c>
      <c r="J704" s="12">
        <f t="shared" si="21"/>
        <v>165.02</v>
      </c>
      <c r="K704" s="17" t="s">
        <v>59</v>
      </c>
    </row>
    <row r="705" spans="1:11" x14ac:dyDescent="0.25">
      <c r="A705" s="17" t="s">
        <v>1031</v>
      </c>
      <c r="B705" s="19">
        <v>46122</v>
      </c>
      <c r="C705" s="20">
        <f t="shared" si="20"/>
        <v>46113</v>
      </c>
      <c r="D705" s="17" t="s">
        <v>58</v>
      </c>
      <c r="E705" s="17" t="s">
        <v>22</v>
      </c>
      <c r="F705" s="17" t="s">
        <v>30</v>
      </c>
      <c r="G705" s="21">
        <v>1</v>
      </c>
      <c r="H705" s="12">
        <v>99.67</v>
      </c>
      <c r="I705" s="22">
        <v>0</v>
      </c>
      <c r="J705" s="12">
        <f t="shared" si="21"/>
        <v>99.67</v>
      </c>
      <c r="K705" s="17" t="s">
        <v>43</v>
      </c>
    </row>
    <row r="706" spans="1:11" x14ac:dyDescent="0.25">
      <c r="A706" s="17" t="s">
        <v>1032</v>
      </c>
      <c r="B706" s="19">
        <v>46122</v>
      </c>
      <c r="C706" s="20">
        <f t="shared" ref="C706:C769" si="22">DATE(YEAR(B706),MONTH(B706),1)</f>
        <v>46113</v>
      </c>
      <c r="D706" s="17" t="s">
        <v>907</v>
      </c>
      <c r="E706" s="17" t="s">
        <v>25</v>
      </c>
      <c r="F706" s="17" t="s">
        <v>30</v>
      </c>
      <c r="G706" s="21">
        <v>1</v>
      </c>
      <c r="H706" s="12">
        <v>29.98</v>
      </c>
      <c r="I706" s="22">
        <v>0</v>
      </c>
      <c r="J706" s="12">
        <f t="shared" ref="J706:J769" si="23">ROUND(G706*H706*(1-I706),2)</f>
        <v>29.98</v>
      </c>
      <c r="K706" s="17" t="s">
        <v>43</v>
      </c>
    </row>
    <row r="707" spans="1:11" x14ac:dyDescent="0.25">
      <c r="A707" s="17" t="s">
        <v>1033</v>
      </c>
      <c r="B707" s="19">
        <v>46122</v>
      </c>
      <c r="C707" s="20">
        <f t="shared" si="22"/>
        <v>46113</v>
      </c>
      <c r="D707" s="17" t="s">
        <v>754</v>
      </c>
      <c r="E707" s="17" t="s">
        <v>19</v>
      </c>
      <c r="F707" s="17" t="s">
        <v>31</v>
      </c>
      <c r="G707" s="21">
        <v>5</v>
      </c>
      <c r="H707" s="12">
        <v>128.65</v>
      </c>
      <c r="I707" s="22">
        <v>0</v>
      </c>
      <c r="J707" s="12">
        <f t="shared" si="23"/>
        <v>643.25</v>
      </c>
      <c r="K707" s="17" t="s">
        <v>48</v>
      </c>
    </row>
    <row r="708" spans="1:11" x14ac:dyDescent="0.25">
      <c r="A708" s="17" t="s">
        <v>1034</v>
      </c>
      <c r="B708" s="19">
        <v>46122</v>
      </c>
      <c r="C708" s="20">
        <f t="shared" si="22"/>
        <v>46113</v>
      </c>
      <c r="D708" s="17" t="s">
        <v>225</v>
      </c>
      <c r="E708" s="17" t="s">
        <v>16</v>
      </c>
      <c r="F708" s="17" t="s">
        <v>31</v>
      </c>
      <c r="G708" s="21">
        <v>4</v>
      </c>
      <c r="H708" s="12">
        <v>242.68</v>
      </c>
      <c r="I708" s="22">
        <v>0</v>
      </c>
      <c r="J708" s="12">
        <f t="shared" si="23"/>
        <v>970.72</v>
      </c>
      <c r="K708" s="17" t="s">
        <v>48</v>
      </c>
    </row>
    <row r="709" spans="1:11" x14ac:dyDescent="0.25">
      <c r="A709" s="17" t="s">
        <v>1035</v>
      </c>
      <c r="B709" s="19">
        <v>46122</v>
      </c>
      <c r="C709" s="20">
        <f t="shared" si="22"/>
        <v>46113</v>
      </c>
      <c r="D709" s="17" t="s">
        <v>199</v>
      </c>
      <c r="E709" s="17" t="s">
        <v>17</v>
      </c>
      <c r="F709" s="17" t="s">
        <v>31</v>
      </c>
      <c r="G709" s="21">
        <v>1</v>
      </c>
      <c r="H709" s="12">
        <v>215.8</v>
      </c>
      <c r="I709" s="22">
        <v>0.15</v>
      </c>
      <c r="J709" s="12">
        <f t="shared" si="23"/>
        <v>183.43</v>
      </c>
      <c r="K709" s="17" t="s">
        <v>48</v>
      </c>
    </row>
    <row r="710" spans="1:11" x14ac:dyDescent="0.25">
      <c r="A710" s="17" t="s">
        <v>1036</v>
      </c>
      <c r="B710" s="19">
        <v>46123</v>
      </c>
      <c r="C710" s="20">
        <f t="shared" si="22"/>
        <v>46113</v>
      </c>
      <c r="D710" s="17" t="s">
        <v>719</v>
      </c>
      <c r="E710" s="17" t="s">
        <v>19</v>
      </c>
      <c r="F710" s="17" t="s">
        <v>30</v>
      </c>
      <c r="G710" s="21">
        <v>4</v>
      </c>
      <c r="H710" s="12">
        <v>125.93</v>
      </c>
      <c r="I710" s="22">
        <v>0.15</v>
      </c>
      <c r="J710" s="12">
        <f t="shared" si="23"/>
        <v>428.16</v>
      </c>
      <c r="K710" s="17" t="s">
        <v>59</v>
      </c>
    </row>
    <row r="711" spans="1:11" x14ac:dyDescent="0.25">
      <c r="A711" s="17" t="s">
        <v>1037</v>
      </c>
      <c r="B711" s="19">
        <v>46123</v>
      </c>
      <c r="C711" s="20">
        <f t="shared" si="22"/>
        <v>46113</v>
      </c>
      <c r="D711" s="17" t="s">
        <v>469</v>
      </c>
      <c r="E711" s="17" t="s">
        <v>25</v>
      </c>
      <c r="F711" s="17" t="s">
        <v>30</v>
      </c>
      <c r="G711" s="21">
        <v>1</v>
      </c>
      <c r="H711" s="12">
        <v>29.23</v>
      </c>
      <c r="I711" s="22">
        <v>0.1</v>
      </c>
      <c r="J711" s="12">
        <f t="shared" si="23"/>
        <v>26.31</v>
      </c>
      <c r="K711" s="17" t="s">
        <v>59</v>
      </c>
    </row>
    <row r="712" spans="1:11" x14ac:dyDescent="0.25">
      <c r="A712" s="17" t="s">
        <v>1038</v>
      </c>
      <c r="B712" s="19">
        <v>46123</v>
      </c>
      <c r="C712" s="20">
        <f t="shared" si="22"/>
        <v>46113</v>
      </c>
      <c r="D712" s="17" t="s">
        <v>86</v>
      </c>
      <c r="E712" s="17" t="s">
        <v>17</v>
      </c>
      <c r="F712" s="17" t="s">
        <v>30</v>
      </c>
      <c r="G712" s="21">
        <v>1</v>
      </c>
      <c r="H712" s="12">
        <v>212.86</v>
      </c>
      <c r="I712" s="22">
        <v>0</v>
      </c>
      <c r="J712" s="12">
        <f t="shared" si="23"/>
        <v>212.86</v>
      </c>
      <c r="K712" s="17" t="s">
        <v>59</v>
      </c>
    </row>
    <row r="713" spans="1:11" x14ac:dyDescent="0.25">
      <c r="A713" s="17" t="s">
        <v>1039</v>
      </c>
      <c r="B713" s="19">
        <v>46123</v>
      </c>
      <c r="C713" s="20">
        <f t="shared" si="22"/>
        <v>46113</v>
      </c>
      <c r="D713" s="17" t="s">
        <v>868</v>
      </c>
      <c r="E713" s="17" t="s">
        <v>16</v>
      </c>
      <c r="F713" s="17" t="s">
        <v>30</v>
      </c>
      <c r="G713" s="21">
        <v>1</v>
      </c>
      <c r="H713" s="12">
        <v>248.55</v>
      </c>
      <c r="I713" s="22">
        <v>0</v>
      </c>
      <c r="J713" s="12">
        <f t="shared" si="23"/>
        <v>248.55</v>
      </c>
      <c r="K713" s="17" t="s">
        <v>43</v>
      </c>
    </row>
    <row r="714" spans="1:11" x14ac:dyDescent="0.25">
      <c r="A714" s="17" t="s">
        <v>1040</v>
      </c>
      <c r="B714" s="19">
        <v>46123</v>
      </c>
      <c r="C714" s="20">
        <f t="shared" si="22"/>
        <v>46113</v>
      </c>
      <c r="D714" s="17" t="s">
        <v>1041</v>
      </c>
      <c r="E714" s="17" t="s">
        <v>17</v>
      </c>
      <c r="F714" s="17" t="s">
        <v>30</v>
      </c>
      <c r="G714" s="21">
        <v>5</v>
      </c>
      <c r="H714" s="12">
        <v>220.51</v>
      </c>
      <c r="I714" s="22">
        <v>0.1</v>
      </c>
      <c r="J714" s="12">
        <f t="shared" si="23"/>
        <v>992.3</v>
      </c>
      <c r="K714" s="17" t="s">
        <v>43</v>
      </c>
    </row>
    <row r="715" spans="1:11" x14ac:dyDescent="0.25">
      <c r="A715" s="17" t="s">
        <v>1042</v>
      </c>
      <c r="B715" s="19">
        <v>46123</v>
      </c>
      <c r="C715" s="20">
        <f t="shared" si="22"/>
        <v>46113</v>
      </c>
      <c r="D715" s="17" t="s">
        <v>422</v>
      </c>
      <c r="E715" s="17" t="s">
        <v>16</v>
      </c>
      <c r="F715" s="17" t="s">
        <v>30</v>
      </c>
      <c r="G715" s="21">
        <v>1</v>
      </c>
      <c r="H715" s="12">
        <v>245.34</v>
      </c>
      <c r="I715" s="22">
        <v>0.1</v>
      </c>
      <c r="J715" s="12">
        <f t="shared" si="23"/>
        <v>220.81</v>
      </c>
      <c r="K715" s="17" t="s">
        <v>43</v>
      </c>
    </row>
    <row r="716" spans="1:11" x14ac:dyDescent="0.25">
      <c r="A716" s="17" t="s">
        <v>1043</v>
      </c>
      <c r="B716" s="19">
        <v>46123</v>
      </c>
      <c r="C716" s="20">
        <f t="shared" si="22"/>
        <v>46113</v>
      </c>
      <c r="D716" s="17" t="s">
        <v>790</v>
      </c>
      <c r="E716" s="17" t="s">
        <v>27</v>
      </c>
      <c r="F716" s="17" t="s">
        <v>30</v>
      </c>
      <c r="G716" s="21">
        <v>4</v>
      </c>
      <c r="H716" s="12">
        <v>13</v>
      </c>
      <c r="I716" s="22">
        <v>0.1</v>
      </c>
      <c r="J716" s="12">
        <f t="shared" si="23"/>
        <v>46.8</v>
      </c>
      <c r="K716" s="17" t="s">
        <v>43</v>
      </c>
    </row>
    <row r="717" spans="1:11" x14ac:dyDescent="0.25">
      <c r="A717" s="17" t="s">
        <v>1044</v>
      </c>
      <c r="B717" s="19">
        <v>46123</v>
      </c>
      <c r="C717" s="20">
        <f t="shared" si="22"/>
        <v>46113</v>
      </c>
      <c r="D717" s="17" t="s">
        <v>813</v>
      </c>
      <c r="E717" s="17" t="s">
        <v>23</v>
      </c>
      <c r="F717" s="17" t="s">
        <v>31</v>
      </c>
      <c r="G717" s="21">
        <v>4</v>
      </c>
      <c r="H717" s="12">
        <v>59.59</v>
      </c>
      <c r="I717" s="22">
        <v>0.1</v>
      </c>
      <c r="J717" s="12">
        <f t="shared" si="23"/>
        <v>214.52</v>
      </c>
      <c r="K717" s="17" t="s">
        <v>48</v>
      </c>
    </row>
    <row r="718" spans="1:11" x14ac:dyDescent="0.25">
      <c r="A718" s="17" t="s">
        <v>1045</v>
      </c>
      <c r="B718" s="19">
        <v>46124</v>
      </c>
      <c r="C718" s="20">
        <f t="shared" si="22"/>
        <v>46113</v>
      </c>
      <c r="D718" s="17" t="s">
        <v>1046</v>
      </c>
      <c r="E718" s="17" t="s">
        <v>25</v>
      </c>
      <c r="F718" s="17" t="s">
        <v>30</v>
      </c>
      <c r="G718" s="21">
        <v>2</v>
      </c>
      <c r="H718" s="12">
        <v>30.15</v>
      </c>
      <c r="I718" s="22">
        <v>0</v>
      </c>
      <c r="J718" s="12">
        <f t="shared" si="23"/>
        <v>60.3</v>
      </c>
      <c r="K718" s="17" t="s">
        <v>59</v>
      </c>
    </row>
    <row r="719" spans="1:11" x14ac:dyDescent="0.25">
      <c r="A719" s="17" t="s">
        <v>1047</v>
      </c>
      <c r="B719" s="19">
        <v>46124</v>
      </c>
      <c r="C719" s="20">
        <f t="shared" si="22"/>
        <v>46113</v>
      </c>
      <c r="D719" s="17" t="s">
        <v>287</v>
      </c>
      <c r="E719" s="17" t="s">
        <v>18</v>
      </c>
      <c r="F719" s="17" t="s">
        <v>30</v>
      </c>
      <c r="G719" s="21">
        <v>3</v>
      </c>
      <c r="H719" s="12">
        <v>150.51</v>
      </c>
      <c r="I719" s="22">
        <v>0</v>
      </c>
      <c r="J719" s="12">
        <f t="shared" si="23"/>
        <v>451.53</v>
      </c>
      <c r="K719" s="17" t="s">
        <v>43</v>
      </c>
    </row>
    <row r="720" spans="1:11" x14ac:dyDescent="0.25">
      <c r="A720" s="17" t="s">
        <v>1048</v>
      </c>
      <c r="B720" s="19">
        <v>46124</v>
      </c>
      <c r="C720" s="20">
        <f t="shared" si="22"/>
        <v>46113</v>
      </c>
      <c r="D720" s="17" t="s">
        <v>65</v>
      </c>
      <c r="E720" s="17" t="s">
        <v>27</v>
      </c>
      <c r="F720" s="17" t="s">
        <v>30</v>
      </c>
      <c r="G720" s="21">
        <v>1</v>
      </c>
      <c r="H720" s="12">
        <v>12.63</v>
      </c>
      <c r="I720" s="22">
        <v>0</v>
      </c>
      <c r="J720" s="12">
        <f t="shared" si="23"/>
        <v>12.63</v>
      </c>
      <c r="K720" s="17" t="s">
        <v>43</v>
      </c>
    </row>
    <row r="721" spans="1:11" x14ac:dyDescent="0.25">
      <c r="A721" s="17" t="s">
        <v>1049</v>
      </c>
      <c r="B721" s="19">
        <v>46124</v>
      </c>
      <c r="C721" s="20">
        <f t="shared" si="22"/>
        <v>46113</v>
      </c>
      <c r="D721" s="17" t="s">
        <v>460</v>
      </c>
      <c r="E721" s="17" t="s">
        <v>26</v>
      </c>
      <c r="F721" s="17" t="s">
        <v>30</v>
      </c>
      <c r="G721" s="21">
        <v>5</v>
      </c>
      <c r="H721" s="12">
        <v>24.1</v>
      </c>
      <c r="I721" s="22">
        <v>0.15</v>
      </c>
      <c r="J721" s="12">
        <f t="shared" si="23"/>
        <v>102.43</v>
      </c>
      <c r="K721" s="17" t="s">
        <v>43</v>
      </c>
    </row>
    <row r="722" spans="1:11" x14ac:dyDescent="0.25">
      <c r="A722" s="17" t="s">
        <v>1050</v>
      </c>
      <c r="B722" s="19">
        <v>46124</v>
      </c>
      <c r="C722" s="20">
        <f t="shared" si="22"/>
        <v>46113</v>
      </c>
      <c r="D722" s="17" t="s">
        <v>709</v>
      </c>
      <c r="E722" s="17" t="s">
        <v>22</v>
      </c>
      <c r="F722" s="17" t="s">
        <v>30</v>
      </c>
      <c r="G722" s="21">
        <v>2</v>
      </c>
      <c r="H722" s="12">
        <v>99.56</v>
      </c>
      <c r="I722" s="22">
        <v>0</v>
      </c>
      <c r="J722" s="12">
        <f t="shared" si="23"/>
        <v>199.12</v>
      </c>
      <c r="K722" s="17" t="s">
        <v>43</v>
      </c>
    </row>
    <row r="723" spans="1:11" x14ac:dyDescent="0.25">
      <c r="A723" s="17" t="s">
        <v>1051</v>
      </c>
      <c r="B723" s="19">
        <v>46124</v>
      </c>
      <c r="C723" s="20">
        <f t="shared" si="22"/>
        <v>46113</v>
      </c>
      <c r="D723" s="17" t="s">
        <v>424</v>
      </c>
      <c r="E723" s="17" t="s">
        <v>19</v>
      </c>
      <c r="F723" s="17" t="s">
        <v>31</v>
      </c>
      <c r="G723" s="21">
        <v>4</v>
      </c>
      <c r="H723" s="12">
        <v>128.15</v>
      </c>
      <c r="I723" s="22">
        <v>0.05</v>
      </c>
      <c r="J723" s="12">
        <f t="shared" si="23"/>
        <v>486.97</v>
      </c>
      <c r="K723" s="17" t="s">
        <v>48</v>
      </c>
    </row>
    <row r="724" spans="1:11" x14ac:dyDescent="0.25">
      <c r="A724" s="17" t="s">
        <v>1052</v>
      </c>
      <c r="B724" s="19">
        <v>46124</v>
      </c>
      <c r="C724" s="20">
        <f t="shared" si="22"/>
        <v>46113</v>
      </c>
      <c r="D724" s="17" t="s">
        <v>78</v>
      </c>
      <c r="E724" s="17" t="s">
        <v>17</v>
      </c>
      <c r="F724" s="17" t="s">
        <v>31</v>
      </c>
      <c r="G724" s="21">
        <v>2</v>
      </c>
      <c r="H724" s="12">
        <v>217.42</v>
      </c>
      <c r="I724" s="22">
        <v>0</v>
      </c>
      <c r="J724" s="12">
        <f t="shared" si="23"/>
        <v>434.84</v>
      </c>
      <c r="K724" s="17" t="s">
        <v>48</v>
      </c>
    </row>
    <row r="725" spans="1:11" x14ac:dyDescent="0.25">
      <c r="A725" s="17" t="s">
        <v>1053</v>
      </c>
      <c r="B725" s="19">
        <v>46124</v>
      </c>
      <c r="C725" s="20">
        <f t="shared" si="22"/>
        <v>46113</v>
      </c>
      <c r="D725" s="17" t="s">
        <v>916</v>
      </c>
      <c r="E725" s="17" t="s">
        <v>18</v>
      </c>
      <c r="F725" s="17" t="s">
        <v>31</v>
      </c>
      <c r="G725" s="21">
        <v>1</v>
      </c>
      <c r="H725" s="12">
        <v>147.41999999999999</v>
      </c>
      <c r="I725" s="22">
        <v>0.1</v>
      </c>
      <c r="J725" s="12">
        <f t="shared" si="23"/>
        <v>132.68</v>
      </c>
      <c r="K725" s="17" t="s">
        <v>48</v>
      </c>
    </row>
    <row r="726" spans="1:11" x14ac:dyDescent="0.25">
      <c r="A726" s="17" t="s">
        <v>1054</v>
      </c>
      <c r="B726" s="19">
        <v>46124</v>
      </c>
      <c r="C726" s="20">
        <f t="shared" si="22"/>
        <v>46113</v>
      </c>
      <c r="D726" s="17" t="s">
        <v>318</v>
      </c>
      <c r="E726" s="17" t="s">
        <v>16</v>
      </c>
      <c r="F726" s="17" t="s">
        <v>31</v>
      </c>
      <c r="G726" s="21">
        <v>5</v>
      </c>
      <c r="H726" s="12">
        <v>242.21</v>
      </c>
      <c r="I726" s="22">
        <v>0</v>
      </c>
      <c r="J726" s="12">
        <f t="shared" si="23"/>
        <v>1211.05</v>
      </c>
      <c r="K726" s="17" t="s">
        <v>48</v>
      </c>
    </row>
    <row r="727" spans="1:11" x14ac:dyDescent="0.25">
      <c r="A727" s="17" t="s">
        <v>1055</v>
      </c>
      <c r="B727" s="19">
        <v>46125</v>
      </c>
      <c r="C727" s="20">
        <f t="shared" si="22"/>
        <v>46113</v>
      </c>
      <c r="D727" s="17" t="s">
        <v>1056</v>
      </c>
      <c r="E727" s="17" t="s">
        <v>17</v>
      </c>
      <c r="F727" s="17" t="s">
        <v>30</v>
      </c>
      <c r="G727" s="21">
        <v>5</v>
      </c>
      <c r="H727" s="12">
        <v>217.1</v>
      </c>
      <c r="I727" s="22">
        <v>0</v>
      </c>
      <c r="J727" s="12">
        <f t="shared" si="23"/>
        <v>1085.5</v>
      </c>
      <c r="K727" s="17" t="s">
        <v>59</v>
      </c>
    </row>
    <row r="728" spans="1:11" x14ac:dyDescent="0.25">
      <c r="A728" s="17" t="s">
        <v>1057</v>
      </c>
      <c r="B728" s="19">
        <v>46125</v>
      </c>
      <c r="C728" s="20">
        <f t="shared" si="22"/>
        <v>46113</v>
      </c>
      <c r="D728" s="17" t="s">
        <v>42</v>
      </c>
      <c r="E728" s="17" t="s">
        <v>20</v>
      </c>
      <c r="F728" s="17" t="s">
        <v>30</v>
      </c>
      <c r="G728" s="21">
        <v>1</v>
      </c>
      <c r="H728" s="12">
        <v>87.93</v>
      </c>
      <c r="I728" s="22">
        <v>0.15</v>
      </c>
      <c r="J728" s="12">
        <f t="shared" si="23"/>
        <v>74.739999999999995</v>
      </c>
      <c r="K728" s="17" t="s">
        <v>59</v>
      </c>
    </row>
    <row r="729" spans="1:11" x14ac:dyDescent="0.25">
      <c r="A729" s="17" t="s">
        <v>1058</v>
      </c>
      <c r="B729" s="19">
        <v>46125</v>
      </c>
      <c r="C729" s="20">
        <f t="shared" si="22"/>
        <v>46113</v>
      </c>
      <c r="D729" s="17" t="s">
        <v>135</v>
      </c>
      <c r="E729" s="17" t="s">
        <v>18</v>
      </c>
      <c r="F729" s="17" t="s">
        <v>30</v>
      </c>
      <c r="G729" s="21">
        <v>2</v>
      </c>
      <c r="H729" s="12">
        <v>152.12</v>
      </c>
      <c r="I729" s="22">
        <v>0</v>
      </c>
      <c r="J729" s="12">
        <f t="shared" si="23"/>
        <v>304.24</v>
      </c>
      <c r="K729" s="17" t="s">
        <v>59</v>
      </c>
    </row>
    <row r="730" spans="1:11" x14ac:dyDescent="0.25">
      <c r="A730" s="17" t="s">
        <v>1059</v>
      </c>
      <c r="B730" s="19">
        <v>46125</v>
      </c>
      <c r="C730" s="20">
        <f t="shared" si="22"/>
        <v>46113</v>
      </c>
      <c r="D730" s="17" t="s">
        <v>807</v>
      </c>
      <c r="E730" s="17" t="s">
        <v>21</v>
      </c>
      <c r="F730" s="17" t="s">
        <v>30</v>
      </c>
      <c r="G730" s="21">
        <v>1</v>
      </c>
      <c r="H730" s="12">
        <v>77.44</v>
      </c>
      <c r="I730" s="22">
        <v>0</v>
      </c>
      <c r="J730" s="12">
        <f t="shared" si="23"/>
        <v>77.44</v>
      </c>
      <c r="K730" s="17" t="s">
        <v>59</v>
      </c>
    </row>
    <row r="731" spans="1:11" x14ac:dyDescent="0.25">
      <c r="A731" s="17" t="s">
        <v>1060</v>
      </c>
      <c r="B731" s="19">
        <v>46125</v>
      </c>
      <c r="C731" s="20">
        <f t="shared" si="22"/>
        <v>46113</v>
      </c>
      <c r="D731" s="17" t="s">
        <v>832</v>
      </c>
      <c r="E731" s="17" t="s">
        <v>19</v>
      </c>
      <c r="F731" s="17" t="s">
        <v>30</v>
      </c>
      <c r="G731" s="21">
        <v>1</v>
      </c>
      <c r="H731" s="12">
        <v>130</v>
      </c>
      <c r="I731" s="22">
        <v>0.15</v>
      </c>
      <c r="J731" s="12">
        <f t="shared" si="23"/>
        <v>110.5</v>
      </c>
      <c r="K731" s="17" t="s">
        <v>43</v>
      </c>
    </row>
    <row r="732" spans="1:11" x14ac:dyDescent="0.25">
      <c r="A732" s="17" t="s">
        <v>1061</v>
      </c>
      <c r="B732" s="19">
        <v>46125</v>
      </c>
      <c r="C732" s="20">
        <f t="shared" si="22"/>
        <v>46113</v>
      </c>
      <c r="D732" s="17" t="s">
        <v>362</v>
      </c>
      <c r="E732" s="17" t="s">
        <v>25</v>
      </c>
      <c r="F732" s="17" t="s">
        <v>30</v>
      </c>
      <c r="G732" s="21">
        <v>5</v>
      </c>
      <c r="H732" s="12">
        <v>30.23</v>
      </c>
      <c r="I732" s="22">
        <v>0.1</v>
      </c>
      <c r="J732" s="12">
        <f t="shared" si="23"/>
        <v>136.04</v>
      </c>
      <c r="K732" s="17" t="s">
        <v>43</v>
      </c>
    </row>
    <row r="733" spans="1:11" x14ac:dyDescent="0.25">
      <c r="A733" s="17" t="s">
        <v>1062</v>
      </c>
      <c r="B733" s="19">
        <v>46125</v>
      </c>
      <c r="C733" s="20">
        <f t="shared" si="22"/>
        <v>46113</v>
      </c>
      <c r="D733" s="17" t="s">
        <v>45</v>
      </c>
      <c r="E733" s="17" t="s">
        <v>27</v>
      </c>
      <c r="F733" s="17" t="s">
        <v>30</v>
      </c>
      <c r="G733" s="21">
        <v>3</v>
      </c>
      <c r="H733" s="12">
        <v>12.82</v>
      </c>
      <c r="I733" s="22">
        <v>0.05</v>
      </c>
      <c r="J733" s="12">
        <f t="shared" si="23"/>
        <v>36.54</v>
      </c>
      <c r="K733" s="17" t="s">
        <v>43</v>
      </c>
    </row>
    <row r="734" spans="1:11" x14ac:dyDescent="0.25">
      <c r="A734" s="17" t="s">
        <v>1063</v>
      </c>
      <c r="B734" s="19">
        <v>46125</v>
      </c>
      <c r="C734" s="20">
        <f t="shared" si="22"/>
        <v>46113</v>
      </c>
      <c r="D734" s="17" t="s">
        <v>225</v>
      </c>
      <c r="E734" s="17" t="s">
        <v>23</v>
      </c>
      <c r="F734" s="17" t="s">
        <v>31</v>
      </c>
      <c r="G734" s="21">
        <v>2</v>
      </c>
      <c r="H734" s="12">
        <v>58.41</v>
      </c>
      <c r="I734" s="22">
        <v>0</v>
      </c>
      <c r="J734" s="12">
        <f t="shared" si="23"/>
        <v>116.82</v>
      </c>
      <c r="K734" s="17" t="s">
        <v>48</v>
      </c>
    </row>
    <row r="735" spans="1:11" x14ac:dyDescent="0.25">
      <c r="A735" s="17" t="s">
        <v>1064</v>
      </c>
      <c r="B735" s="19">
        <v>46125</v>
      </c>
      <c r="C735" s="20">
        <f t="shared" si="22"/>
        <v>46113</v>
      </c>
      <c r="D735" s="17" t="s">
        <v>219</v>
      </c>
      <c r="E735" s="17" t="s">
        <v>17</v>
      </c>
      <c r="F735" s="17" t="s">
        <v>31</v>
      </c>
      <c r="G735" s="21">
        <v>2</v>
      </c>
      <c r="H735" s="12">
        <v>221.17</v>
      </c>
      <c r="I735" s="22">
        <v>0.05</v>
      </c>
      <c r="J735" s="12">
        <f t="shared" si="23"/>
        <v>420.22</v>
      </c>
      <c r="K735" s="17" t="s">
        <v>48</v>
      </c>
    </row>
    <row r="736" spans="1:11" x14ac:dyDescent="0.25">
      <c r="A736" s="17" t="s">
        <v>1065</v>
      </c>
      <c r="B736" s="19">
        <v>46125</v>
      </c>
      <c r="C736" s="20">
        <f t="shared" si="22"/>
        <v>46113</v>
      </c>
      <c r="D736" s="17" t="s">
        <v>310</v>
      </c>
      <c r="E736" s="17" t="s">
        <v>25</v>
      </c>
      <c r="F736" s="17" t="s">
        <v>31</v>
      </c>
      <c r="G736" s="21">
        <v>5</v>
      </c>
      <c r="H736" s="12">
        <v>30.53</v>
      </c>
      <c r="I736" s="22">
        <v>0.1</v>
      </c>
      <c r="J736" s="12">
        <f t="shared" si="23"/>
        <v>137.38999999999999</v>
      </c>
      <c r="K736" s="17" t="s">
        <v>48</v>
      </c>
    </row>
    <row r="737" spans="1:11" x14ac:dyDescent="0.25">
      <c r="A737" s="17" t="s">
        <v>1066</v>
      </c>
      <c r="B737" s="19">
        <v>46126</v>
      </c>
      <c r="C737" s="20">
        <f t="shared" si="22"/>
        <v>46113</v>
      </c>
      <c r="D737" s="17" t="s">
        <v>42</v>
      </c>
      <c r="E737" s="17" t="s">
        <v>25</v>
      </c>
      <c r="F737" s="17" t="s">
        <v>30</v>
      </c>
      <c r="G737" s="21">
        <v>1</v>
      </c>
      <c r="H737" s="12">
        <v>29.93</v>
      </c>
      <c r="I737" s="22">
        <v>0</v>
      </c>
      <c r="J737" s="12">
        <f t="shared" si="23"/>
        <v>29.93</v>
      </c>
      <c r="K737" s="17" t="s">
        <v>59</v>
      </c>
    </row>
    <row r="738" spans="1:11" x14ac:dyDescent="0.25">
      <c r="A738" s="17" t="s">
        <v>1067</v>
      </c>
      <c r="B738" s="19">
        <v>46126</v>
      </c>
      <c r="C738" s="20">
        <f t="shared" si="22"/>
        <v>46113</v>
      </c>
      <c r="D738" s="17" t="s">
        <v>344</v>
      </c>
      <c r="E738" s="17" t="s">
        <v>16</v>
      </c>
      <c r="F738" s="17" t="s">
        <v>30</v>
      </c>
      <c r="G738" s="21">
        <v>4</v>
      </c>
      <c r="H738" s="12">
        <v>255</v>
      </c>
      <c r="I738" s="22">
        <v>0.05</v>
      </c>
      <c r="J738" s="12">
        <f t="shared" si="23"/>
        <v>969</v>
      </c>
      <c r="K738" s="17" t="s">
        <v>59</v>
      </c>
    </row>
    <row r="739" spans="1:11" x14ac:dyDescent="0.25">
      <c r="A739" s="17" t="s">
        <v>1068</v>
      </c>
      <c r="B739" s="19">
        <v>46126</v>
      </c>
      <c r="C739" s="20">
        <f t="shared" si="22"/>
        <v>46113</v>
      </c>
      <c r="D739" s="17" t="s">
        <v>1069</v>
      </c>
      <c r="E739" s="17" t="s">
        <v>17</v>
      </c>
      <c r="F739" s="17" t="s">
        <v>30</v>
      </c>
      <c r="G739" s="21">
        <v>1</v>
      </c>
      <c r="H739" s="12">
        <v>221.21</v>
      </c>
      <c r="I739" s="22">
        <v>0.1</v>
      </c>
      <c r="J739" s="12">
        <f t="shared" si="23"/>
        <v>199.09</v>
      </c>
      <c r="K739" s="17" t="s">
        <v>59</v>
      </c>
    </row>
    <row r="740" spans="1:11" x14ac:dyDescent="0.25">
      <c r="A740" s="17" t="s">
        <v>1070</v>
      </c>
      <c r="B740" s="19">
        <v>46126</v>
      </c>
      <c r="C740" s="20">
        <f t="shared" si="22"/>
        <v>46113</v>
      </c>
      <c r="D740" s="17" t="s">
        <v>983</v>
      </c>
      <c r="E740" s="17" t="s">
        <v>16</v>
      </c>
      <c r="F740" s="17" t="s">
        <v>30</v>
      </c>
      <c r="G740" s="21">
        <v>2</v>
      </c>
      <c r="H740" s="12">
        <v>255.74</v>
      </c>
      <c r="I740" s="22">
        <v>0.1</v>
      </c>
      <c r="J740" s="12">
        <f t="shared" si="23"/>
        <v>460.33</v>
      </c>
      <c r="K740" s="17" t="s">
        <v>59</v>
      </c>
    </row>
    <row r="741" spans="1:11" x14ac:dyDescent="0.25">
      <c r="A741" s="17" t="s">
        <v>1071</v>
      </c>
      <c r="B741" s="19">
        <v>46126</v>
      </c>
      <c r="C741" s="20">
        <f t="shared" si="22"/>
        <v>46113</v>
      </c>
      <c r="D741" s="17" t="s">
        <v>594</v>
      </c>
      <c r="E741" s="17" t="s">
        <v>18</v>
      </c>
      <c r="F741" s="17" t="s">
        <v>30</v>
      </c>
      <c r="G741" s="21">
        <v>2</v>
      </c>
      <c r="H741" s="12">
        <v>146.84</v>
      </c>
      <c r="I741" s="22">
        <v>0</v>
      </c>
      <c r="J741" s="12">
        <f t="shared" si="23"/>
        <v>293.68</v>
      </c>
      <c r="K741" s="17" t="s">
        <v>43</v>
      </c>
    </row>
    <row r="742" spans="1:11" x14ac:dyDescent="0.25">
      <c r="A742" s="17" t="s">
        <v>1072</v>
      </c>
      <c r="B742" s="19">
        <v>46126</v>
      </c>
      <c r="C742" s="20">
        <f t="shared" si="22"/>
        <v>46113</v>
      </c>
      <c r="D742" s="17" t="s">
        <v>410</v>
      </c>
      <c r="E742" s="17" t="s">
        <v>26</v>
      </c>
      <c r="F742" s="17" t="s">
        <v>30</v>
      </c>
      <c r="G742" s="21">
        <v>5</v>
      </c>
      <c r="H742" s="12">
        <v>24.74</v>
      </c>
      <c r="I742" s="22">
        <v>0.15</v>
      </c>
      <c r="J742" s="12">
        <f t="shared" si="23"/>
        <v>105.15</v>
      </c>
      <c r="K742" s="17" t="s">
        <v>43</v>
      </c>
    </row>
    <row r="743" spans="1:11" x14ac:dyDescent="0.25">
      <c r="A743" s="17" t="s">
        <v>1073</v>
      </c>
      <c r="B743" s="19">
        <v>46126</v>
      </c>
      <c r="C743" s="20">
        <f t="shared" si="22"/>
        <v>46113</v>
      </c>
      <c r="D743" s="17" t="s">
        <v>108</v>
      </c>
      <c r="E743" s="17" t="s">
        <v>23</v>
      </c>
      <c r="F743" s="17" t="s">
        <v>31</v>
      </c>
      <c r="G743" s="21">
        <v>1</v>
      </c>
      <c r="H743" s="12">
        <v>60.03</v>
      </c>
      <c r="I743" s="22">
        <v>0.05</v>
      </c>
      <c r="J743" s="12">
        <f t="shared" si="23"/>
        <v>57.03</v>
      </c>
      <c r="K743" s="17" t="s">
        <v>48</v>
      </c>
    </row>
    <row r="744" spans="1:11" x14ac:dyDescent="0.25">
      <c r="A744" s="17" t="s">
        <v>1074</v>
      </c>
      <c r="B744" s="19">
        <v>46126</v>
      </c>
      <c r="C744" s="20">
        <f t="shared" si="22"/>
        <v>46113</v>
      </c>
      <c r="D744" s="17" t="s">
        <v>1075</v>
      </c>
      <c r="E744" s="17" t="s">
        <v>25</v>
      </c>
      <c r="F744" s="17" t="s">
        <v>31</v>
      </c>
      <c r="G744" s="21">
        <v>1</v>
      </c>
      <c r="H744" s="12">
        <v>29.86</v>
      </c>
      <c r="I744" s="22">
        <v>0</v>
      </c>
      <c r="J744" s="12">
        <f t="shared" si="23"/>
        <v>29.86</v>
      </c>
      <c r="K744" s="17" t="s">
        <v>48</v>
      </c>
    </row>
    <row r="745" spans="1:11" x14ac:dyDescent="0.25">
      <c r="A745" s="17" t="s">
        <v>1076</v>
      </c>
      <c r="B745" s="19">
        <v>46126</v>
      </c>
      <c r="C745" s="20">
        <f t="shared" si="22"/>
        <v>46113</v>
      </c>
      <c r="D745" s="17" t="s">
        <v>557</v>
      </c>
      <c r="E745" s="17" t="s">
        <v>16</v>
      </c>
      <c r="F745" s="17" t="s">
        <v>31</v>
      </c>
      <c r="G745" s="21">
        <v>5</v>
      </c>
      <c r="H745" s="12">
        <v>256.24</v>
      </c>
      <c r="I745" s="22">
        <v>0</v>
      </c>
      <c r="J745" s="12">
        <f t="shared" si="23"/>
        <v>1281.2</v>
      </c>
      <c r="K745" s="17" t="s">
        <v>48</v>
      </c>
    </row>
    <row r="746" spans="1:11" x14ac:dyDescent="0.25">
      <c r="A746" s="17" t="s">
        <v>1077</v>
      </c>
      <c r="B746" s="19">
        <v>46127</v>
      </c>
      <c r="C746" s="20">
        <f t="shared" si="22"/>
        <v>46113</v>
      </c>
      <c r="D746" s="17" t="s">
        <v>465</v>
      </c>
      <c r="E746" s="17" t="s">
        <v>17</v>
      </c>
      <c r="F746" s="17" t="s">
        <v>30</v>
      </c>
      <c r="G746" s="21">
        <v>5</v>
      </c>
      <c r="H746" s="12">
        <v>219.69</v>
      </c>
      <c r="I746" s="22">
        <v>0</v>
      </c>
      <c r="J746" s="12">
        <f t="shared" si="23"/>
        <v>1098.45</v>
      </c>
      <c r="K746" s="17" t="s">
        <v>59</v>
      </c>
    </row>
    <row r="747" spans="1:11" x14ac:dyDescent="0.25">
      <c r="A747" s="17" t="s">
        <v>1078</v>
      </c>
      <c r="B747" s="19">
        <v>46127</v>
      </c>
      <c r="C747" s="20">
        <f t="shared" si="22"/>
        <v>46113</v>
      </c>
      <c r="D747" s="17" t="s">
        <v>251</v>
      </c>
      <c r="E747" s="17" t="s">
        <v>27</v>
      </c>
      <c r="F747" s="17" t="s">
        <v>30</v>
      </c>
      <c r="G747" s="21">
        <v>1</v>
      </c>
      <c r="H747" s="12">
        <v>12.71</v>
      </c>
      <c r="I747" s="22">
        <v>0</v>
      </c>
      <c r="J747" s="12">
        <f t="shared" si="23"/>
        <v>12.71</v>
      </c>
      <c r="K747" s="17" t="s">
        <v>59</v>
      </c>
    </row>
    <row r="748" spans="1:11" x14ac:dyDescent="0.25">
      <c r="A748" s="17" t="s">
        <v>1079</v>
      </c>
      <c r="B748" s="19">
        <v>46128</v>
      </c>
      <c r="C748" s="20">
        <f t="shared" si="22"/>
        <v>46113</v>
      </c>
      <c r="D748" s="17" t="s">
        <v>510</v>
      </c>
      <c r="E748" s="17" t="s">
        <v>16</v>
      </c>
      <c r="F748" s="17" t="s">
        <v>30</v>
      </c>
      <c r="G748" s="21">
        <v>2</v>
      </c>
      <c r="H748" s="12">
        <v>248.78</v>
      </c>
      <c r="I748" s="22">
        <v>0.1</v>
      </c>
      <c r="J748" s="12">
        <f t="shared" si="23"/>
        <v>447.8</v>
      </c>
      <c r="K748" s="17" t="s">
        <v>59</v>
      </c>
    </row>
    <row r="749" spans="1:11" x14ac:dyDescent="0.25">
      <c r="A749" s="17" t="s">
        <v>1080</v>
      </c>
      <c r="B749" s="19">
        <v>46128</v>
      </c>
      <c r="C749" s="20">
        <f t="shared" si="22"/>
        <v>46113</v>
      </c>
      <c r="D749" s="17" t="s">
        <v>738</v>
      </c>
      <c r="E749" s="17" t="s">
        <v>18</v>
      </c>
      <c r="F749" s="17" t="s">
        <v>30</v>
      </c>
      <c r="G749" s="21">
        <v>1</v>
      </c>
      <c r="H749" s="12">
        <v>146.94999999999999</v>
      </c>
      <c r="I749" s="22">
        <v>0</v>
      </c>
      <c r="J749" s="12">
        <f t="shared" si="23"/>
        <v>146.94999999999999</v>
      </c>
      <c r="K749" s="17" t="s">
        <v>59</v>
      </c>
    </row>
    <row r="750" spans="1:11" x14ac:dyDescent="0.25">
      <c r="A750" s="17" t="s">
        <v>1081</v>
      </c>
      <c r="B750" s="19">
        <v>46128</v>
      </c>
      <c r="C750" s="20">
        <f t="shared" si="22"/>
        <v>46113</v>
      </c>
      <c r="D750" s="17" t="s">
        <v>320</v>
      </c>
      <c r="E750" s="17" t="s">
        <v>26</v>
      </c>
      <c r="F750" s="17" t="s">
        <v>30</v>
      </c>
      <c r="G750" s="21">
        <v>2</v>
      </c>
      <c r="H750" s="12">
        <v>24.1</v>
      </c>
      <c r="I750" s="22">
        <v>0.05</v>
      </c>
      <c r="J750" s="12">
        <f t="shared" si="23"/>
        <v>45.79</v>
      </c>
      <c r="K750" s="17" t="s">
        <v>43</v>
      </c>
    </row>
    <row r="751" spans="1:11" x14ac:dyDescent="0.25">
      <c r="A751" s="17" t="s">
        <v>1082</v>
      </c>
      <c r="B751" s="19">
        <v>46128</v>
      </c>
      <c r="C751" s="20">
        <f t="shared" si="22"/>
        <v>46113</v>
      </c>
      <c r="D751" s="17" t="s">
        <v>1026</v>
      </c>
      <c r="E751" s="17" t="s">
        <v>27</v>
      </c>
      <c r="F751" s="17" t="s">
        <v>30</v>
      </c>
      <c r="G751" s="21">
        <v>4</v>
      </c>
      <c r="H751" s="12">
        <v>12.87</v>
      </c>
      <c r="I751" s="22">
        <v>0.1</v>
      </c>
      <c r="J751" s="12">
        <f t="shared" si="23"/>
        <v>46.33</v>
      </c>
      <c r="K751" s="17" t="s">
        <v>43</v>
      </c>
    </row>
    <row r="752" spans="1:11" x14ac:dyDescent="0.25">
      <c r="A752" s="17" t="s">
        <v>1083</v>
      </c>
      <c r="B752" s="19">
        <v>46129</v>
      </c>
      <c r="C752" s="20">
        <f t="shared" si="22"/>
        <v>46113</v>
      </c>
      <c r="D752" s="17" t="s">
        <v>157</v>
      </c>
      <c r="E752" s="17" t="s">
        <v>16</v>
      </c>
      <c r="F752" s="17" t="s">
        <v>30</v>
      </c>
      <c r="G752" s="21">
        <v>2</v>
      </c>
      <c r="H752" s="12">
        <v>243.78</v>
      </c>
      <c r="I752" s="22">
        <v>0</v>
      </c>
      <c r="J752" s="12">
        <f t="shared" si="23"/>
        <v>487.56</v>
      </c>
      <c r="K752" s="17" t="s">
        <v>59</v>
      </c>
    </row>
    <row r="753" spans="1:11" x14ac:dyDescent="0.25">
      <c r="A753" s="17" t="s">
        <v>1084</v>
      </c>
      <c r="B753" s="19">
        <v>46129</v>
      </c>
      <c r="C753" s="20">
        <f t="shared" si="22"/>
        <v>46113</v>
      </c>
      <c r="D753" s="17" t="s">
        <v>386</v>
      </c>
      <c r="E753" s="17" t="s">
        <v>20</v>
      </c>
      <c r="F753" s="17" t="s">
        <v>30</v>
      </c>
      <c r="G753" s="21">
        <v>1</v>
      </c>
      <c r="H753" s="12">
        <v>88.43</v>
      </c>
      <c r="I753" s="22">
        <v>0.15</v>
      </c>
      <c r="J753" s="12">
        <f t="shared" si="23"/>
        <v>75.17</v>
      </c>
      <c r="K753" s="17" t="s">
        <v>59</v>
      </c>
    </row>
    <row r="754" spans="1:11" x14ac:dyDescent="0.25">
      <c r="A754" s="17" t="s">
        <v>1085</v>
      </c>
      <c r="B754" s="19">
        <v>46129</v>
      </c>
      <c r="C754" s="20">
        <f t="shared" si="22"/>
        <v>46113</v>
      </c>
      <c r="D754" s="17" t="s">
        <v>78</v>
      </c>
      <c r="E754" s="17" t="s">
        <v>23</v>
      </c>
      <c r="F754" s="17" t="s">
        <v>30</v>
      </c>
      <c r="G754" s="21">
        <v>3</v>
      </c>
      <c r="H754" s="12">
        <v>59.51</v>
      </c>
      <c r="I754" s="22">
        <v>0.05</v>
      </c>
      <c r="J754" s="12">
        <f t="shared" si="23"/>
        <v>169.6</v>
      </c>
      <c r="K754" s="17" t="s">
        <v>59</v>
      </c>
    </row>
    <row r="755" spans="1:11" x14ac:dyDescent="0.25">
      <c r="A755" s="17" t="s">
        <v>1086</v>
      </c>
      <c r="B755" s="19">
        <v>46129</v>
      </c>
      <c r="C755" s="20">
        <f t="shared" si="22"/>
        <v>46113</v>
      </c>
      <c r="D755" s="17" t="s">
        <v>179</v>
      </c>
      <c r="E755" s="17" t="s">
        <v>16</v>
      </c>
      <c r="F755" s="17" t="s">
        <v>30</v>
      </c>
      <c r="G755" s="21">
        <v>5</v>
      </c>
      <c r="H755" s="12">
        <v>253.42</v>
      </c>
      <c r="I755" s="22">
        <v>0.1</v>
      </c>
      <c r="J755" s="12">
        <f t="shared" si="23"/>
        <v>1140.3900000000001</v>
      </c>
      <c r="K755" s="17" t="s">
        <v>43</v>
      </c>
    </row>
    <row r="756" spans="1:11" x14ac:dyDescent="0.25">
      <c r="A756" s="17" t="s">
        <v>1087</v>
      </c>
      <c r="B756" s="19">
        <v>46129</v>
      </c>
      <c r="C756" s="20">
        <f t="shared" si="22"/>
        <v>46113</v>
      </c>
      <c r="D756" s="17" t="s">
        <v>78</v>
      </c>
      <c r="E756" s="17" t="s">
        <v>17</v>
      </c>
      <c r="F756" s="17" t="s">
        <v>30</v>
      </c>
      <c r="G756" s="21">
        <v>1</v>
      </c>
      <c r="H756" s="12">
        <v>215.28</v>
      </c>
      <c r="I756" s="22">
        <v>0.1</v>
      </c>
      <c r="J756" s="12">
        <f t="shared" si="23"/>
        <v>193.75</v>
      </c>
      <c r="K756" s="17" t="s">
        <v>43</v>
      </c>
    </row>
    <row r="757" spans="1:11" x14ac:dyDescent="0.25">
      <c r="A757" s="17" t="s">
        <v>1088</v>
      </c>
      <c r="B757" s="19">
        <v>46129</v>
      </c>
      <c r="C757" s="20">
        <f t="shared" si="22"/>
        <v>46113</v>
      </c>
      <c r="D757" s="17" t="s">
        <v>359</v>
      </c>
      <c r="E757" s="17" t="s">
        <v>23</v>
      </c>
      <c r="F757" s="17" t="s">
        <v>31</v>
      </c>
      <c r="G757" s="21">
        <v>2</v>
      </c>
      <c r="H757" s="12">
        <v>57.29</v>
      </c>
      <c r="I757" s="22">
        <v>0</v>
      </c>
      <c r="J757" s="12">
        <f t="shared" si="23"/>
        <v>114.58</v>
      </c>
      <c r="K757" s="17" t="s">
        <v>48</v>
      </c>
    </row>
    <row r="758" spans="1:11" x14ac:dyDescent="0.25">
      <c r="A758" s="17" t="s">
        <v>1089</v>
      </c>
      <c r="B758" s="19">
        <v>46130</v>
      </c>
      <c r="C758" s="20">
        <f t="shared" si="22"/>
        <v>46113</v>
      </c>
      <c r="D758" s="17" t="s">
        <v>576</v>
      </c>
      <c r="E758" s="17" t="s">
        <v>25</v>
      </c>
      <c r="F758" s="17" t="s">
        <v>30</v>
      </c>
      <c r="G758" s="21">
        <v>2</v>
      </c>
      <c r="H758" s="12">
        <v>30.29</v>
      </c>
      <c r="I758" s="22">
        <v>0</v>
      </c>
      <c r="J758" s="12">
        <f t="shared" si="23"/>
        <v>60.58</v>
      </c>
      <c r="K758" s="17" t="s">
        <v>59</v>
      </c>
    </row>
    <row r="759" spans="1:11" x14ac:dyDescent="0.25">
      <c r="A759" s="17" t="s">
        <v>1090</v>
      </c>
      <c r="B759" s="19">
        <v>46130</v>
      </c>
      <c r="C759" s="20">
        <f t="shared" si="22"/>
        <v>46113</v>
      </c>
      <c r="D759" s="17" t="s">
        <v>293</v>
      </c>
      <c r="E759" s="17" t="s">
        <v>26</v>
      </c>
      <c r="F759" s="17" t="s">
        <v>30</v>
      </c>
      <c r="G759" s="21">
        <v>1</v>
      </c>
      <c r="H759" s="12">
        <v>24.11</v>
      </c>
      <c r="I759" s="22">
        <v>0.05</v>
      </c>
      <c r="J759" s="12">
        <f t="shared" si="23"/>
        <v>22.9</v>
      </c>
      <c r="K759" s="17" t="s">
        <v>59</v>
      </c>
    </row>
    <row r="760" spans="1:11" x14ac:dyDescent="0.25">
      <c r="A760" s="17" t="s">
        <v>1091</v>
      </c>
      <c r="B760" s="19">
        <v>46130</v>
      </c>
      <c r="C760" s="20">
        <f t="shared" si="22"/>
        <v>46113</v>
      </c>
      <c r="D760" s="17" t="s">
        <v>661</v>
      </c>
      <c r="E760" s="17" t="s">
        <v>19</v>
      </c>
      <c r="F760" s="17" t="s">
        <v>30</v>
      </c>
      <c r="G760" s="21">
        <v>2</v>
      </c>
      <c r="H760" s="12">
        <v>128.35</v>
      </c>
      <c r="I760" s="22">
        <v>0</v>
      </c>
      <c r="J760" s="12">
        <f t="shared" si="23"/>
        <v>256.7</v>
      </c>
      <c r="K760" s="17" t="s">
        <v>43</v>
      </c>
    </row>
    <row r="761" spans="1:11" x14ac:dyDescent="0.25">
      <c r="A761" s="17" t="s">
        <v>1092</v>
      </c>
      <c r="B761" s="19">
        <v>46130</v>
      </c>
      <c r="C761" s="20">
        <f t="shared" si="22"/>
        <v>46113</v>
      </c>
      <c r="D761" s="17" t="s">
        <v>144</v>
      </c>
      <c r="E761" s="17" t="s">
        <v>18</v>
      </c>
      <c r="F761" s="17" t="s">
        <v>30</v>
      </c>
      <c r="G761" s="21">
        <v>2</v>
      </c>
      <c r="H761" s="12">
        <v>145.30000000000001</v>
      </c>
      <c r="I761" s="22">
        <v>0</v>
      </c>
      <c r="J761" s="12">
        <f t="shared" si="23"/>
        <v>290.60000000000002</v>
      </c>
      <c r="K761" s="17" t="s">
        <v>43</v>
      </c>
    </row>
    <row r="762" spans="1:11" x14ac:dyDescent="0.25">
      <c r="A762" s="17" t="s">
        <v>1093</v>
      </c>
      <c r="B762" s="19">
        <v>46130</v>
      </c>
      <c r="C762" s="20">
        <f t="shared" si="22"/>
        <v>46113</v>
      </c>
      <c r="D762" s="17" t="s">
        <v>1094</v>
      </c>
      <c r="E762" s="17" t="s">
        <v>27</v>
      </c>
      <c r="F762" s="17" t="s">
        <v>31</v>
      </c>
      <c r="G762" s="21">
        <v>1</v>
      </c>
      <c r="H762" s="12">
        <v>13.32</v>
      </c>
      <c r="I762" s="22">
        <v>0.05</v>
      </c>
      <c r="J762" s="12">
        <f t="shared" si="23"/>
        <v>12.65</v>
      </c>
      <c r="K762" s="17" t="s">
        <v>48</v>
      </c>
    </row>
    <row r="763" spans="1:11" x14ac:dyDescent="0.25">
      <c r="A763" s="17" t="s">
        <v>1095</v>
      </c>
      <c r="B763" s="19">
        <v>46130</v>
      </c>
      <c r="C763" s="20">
        <f t="shared" si="22"/>
        <v>46113</v>
      </c>
      <c r="D763" s="17" t="s">
        <v>494</v>
      </c>
      <c r="E763" s="17" t="s">
        <v>22</v>
      </c>
      <c r="F763" s="17" t="s">
        <v>31</v>
      </c>
      <c r="G763" s="21">
        <v>3</v>
      </c>
      <c r="H763" s="12">
        <v>101.65</v>
      </c>
      <c r="I763" s="22">
        <v>0.05</v>
      </c>
      <c r="J763" s="12">
        <f t="shared" si="23"/>
        <v>289.7</v>
      </c>
      <c r="K763" s="17" t="s">
        <v>48</v>
      </c>
    </row>
    <row r="764" spans="1:11" x14ac:dyDescent="0.25">
      <c r="A764" s="17" t="s">
        <v>1096</v>
      </c>
      <c r="B764" s="19">
        <v>46131</v>
      </c>
      <c r="C764" s="20">
        <f t="shared" si="22"/>
        <v>46113</v>
      </c>
      <c r="D764" s="17" t="s">
        <v>576</v>
      </c>
      <c r="E764" s="17" t="s">
        <v>20</v>
      </c>
      <c r="F764" s="17" t="s">
        <v>30</v>
      </c>
      <c r="G764" s="21">
        <v>1</v>
      </c>
      <c r="H764" s="12">
        <v>89.72</v>
      </c>
      <c r="I764" s="22">
        <v>0</v>
      </c>
      <c r="J764" s="12">
        <f t="shared" si="23"/>
        <v>89.72</v>
      </c>
      <c r="K764" s="17" t="s">
        <v>59</v>
      </c>
    </row>
    <row r="765" spans="1:11" x14ac:dyDescent="0.25">
      <c r="A765" s="17" t="s">
        <v>1097</v>
      </c>
      <c r="B765" s="19">
        <v>46131</v>
      </c>
      <c r="C765" s="20">
        <f t="shared" si="22"/>
        <v>46113</v>
      </c>
      <c r="D765" s="17" t="s">
        <v>480</v>
      </c>
      <c r="E765" s="17" t="s">
        <v>22</v>
      </c>
      <c r="F765" s="17" t="s">
        <v>31</v>
      </c>
      <c r="G765" s="21">
        <v>1</v>
      </c>
      <c r="H765" s="12">
        <v>100.6</v>
      </c>
      <c r="I765" s="22">
        <v>0.1</v>
      </c>
      <c r="J765" s="12">
        <f t="shared" si="23"/>
        <v>90.54</v>
      </c>
      <c r="K765" s="17" t="s">
        <v>48</v>
      </c>
    </row>
    <row r="766" spans="1:11" x14ac:dyDescent="0.25">
      <c r="A766" s="17" t="s">
        <v>1098</v>
      </c>
      <c r="B766" s="19">
        <v>46132</v>
      </c>
      <c r="C766" s="20">
        <f t="shared" si="22"/>
        <v>46113</v>
      </c>
      <c r="D766" s="17" t="s">
        <v>150</v>
      </c>
      <c r="E766" s="17" t="s">
        <v>20</v>
      </c>
      <c r="F766" s="17" t="s">
        <v>30</v>
      </c>
      <c r="G766" s="21">
        <v>2</v>
      </c>
      <c r="H766" s="12">
        <v>89.67</v>
      </c>
      <c r="I766" s="22">
        <v>0</v>
      </c>
      <c r="J766" s="12">
        <f t="shared" si="23"/>
        <v>179.34</v>
      </c>
      <c r="K766" s="17" t="s">
        <v>59</v>
      </c>
    </row>
    <row r="767" spans="1:11" x14ac:dyDescent="0.25">
      <c r="A767" s="17" t="s">
        <v>1099</v>
      </c>
      <c r="B767" s="19">
        <v>46132</v>
      </c>
      <c r="C767" s="20">
        <f t="shared" si="22"/>
        <v>46113</v>
      </c>
      <c r="D767" s="17" t="s">
        <v>141</v>
      </c>
      <c r="E767" s="17" t="s">
        <v>24</v>
      </c>
      <c r="F767" s="17" t="s">
        <v>30</v>
      </c>
      <c r="G767" s="21">
        <v>1</v>
      </c>
      <c r="H767" s="12">
        <v>35.630000000000003</v>
      </c>
      <c r="I767" s="22">
        <v>0</v>
      </c>
      <c r="J767" s="12">
        <f t="shared" si="23"/>
        <v>35.630000000000003</v>
      </c>
      <c r="K767" s="17" t="s">
        <v>59</v>
      </c>
    </row>
    <row r="768" spans="1:11" x14ac:dyDescent="0.25">
      <c r="A768" s="17" t="s">
        <v>1100</v>
      </c>
      <c r="B768" s="19">
        <v>46132</v>
      </c>
      <c r="C768" s="20">
        <f t="shared" si="22"/>
        <v>46113</v>
      </c>
      <c r="D768" s="17" t="s">
        <v>939</v>
      </c>
      <c r="E768" s="17" t="s">
        <v>23</v>
      </c>
      <c r="F768" s="17" t="s">
        <v>30</v>
      </c>
      <c r="G768" s="21">
        <v>1</v>
      </c>
      <c r="H768" s="12">
        <v>59.49</v>
      </c>
      <c r="I768" s="22">
        <v>0.15</v>
      </c>
      <c r="J768" s="12">
        <f t="shared" si="23"/>
        <v>50.57</v>
      </c>
      <c r="K768" s="17" t="s">
        <v>59</v>
      </c>
    </row>
    <row r="769" spans="1:11" x14ac:dyDescent="0.25">
      <c r="A769" s="17" t="s">
        <v>1101</v>
      </c>
      <c r="B769" s="19">
        <v>46132</v>
      </c>
      <c r="C769" s="20">
        <f t="shared" si="22"/>
        <v>46113</v>
      </c>
      <c r="D769" s="17" t="s">
        <v>197</v>
      </c>
      <c r="E769" s="17" t="s">
        <v>22</v>
      </c>
      <c r="F769" s="17" t="s">
        <v>30</v>
      </c>
      <c r="G769" s="21">
        <v>4</v>
      </c>
      <c r="H769" s="12">
        <v>100.1</v>
      </c>
      <c r="I769" s="22">
        <v>0.1</v>
      </c>
      <c r="J769" s="12">
        <f t="shared" si="23"/>
        <v>360.36</v>
      </c>
      <c r="K769" s="17" t="s">
        <v>59</v>
      </c>
    </row>
    <row r="770" spans="1:11" x14ac:dyDescent="0.25">
      <c r="A770" s="17" t="s">
        <v>1102</v>
      </c>
      <c r="B770" s="19">
        <v>46132</v>
      </c>
      <c r="C770" s="20">
        <f t="shared" ref="C770:C833" si="24">DATE(YEAR(B770),MONTH(B770),1)</f>
        <v>46113</v>
      </c>
      <c r="D770" s="17" t="s">
        <v>1103</v>
      </c>
      <c r="E770" s="17" t="s">
        <v>17</v>
      </c>
      <c r="F770" s="17" t="s">
        <v>30</v>
      </c>
      <c r="G770" s="21">
        <v>4</v>
      </c>
      <c r="H770" s="12">
        <v>223.71</v>
      </c>
      <c r="I770" s="22">
        <v>0</v>
      </c>
      <c r="J770" s="12">
        <f t="shared" ref="J770:J833" si="25">ROUND(G770*H770*(1-I770),2)</f>
        <v>894.84</v>
      </c>
      <c r="K770" s="17" t="s">
        <v>43</v>
      </c>
    </row>
    <row r="771" spans="1:11" x14ac:dyDescent="0.25">
      <c r="A771" s="17" t="s">
        <v>1104</v>
      </c>
      <c r="B771" s="19">
        <v>46132</v>
      </c>
      <c r="C771" s="20">
        <f t="shared" si="24"/>
        <v>46113</v>
      </c>
      <c r="D771" s="17" t="s">
        <v>502</v>
      </c>
      <c r="E771" s="17" t="s">
        <v>19</v>
      </c>
      <c r="F771" s="17" t="s">
        <v>30</v>
      </c>
      <c r="G771" s="21">
        <v>3</v>
      </c>
      <c r="H771" s="12">
        <v>131.9</v>
      </c>
      <c r="I771" s="22">
        <v>0</v>
      </c>
      <c r="J771" s="12">
        <f t="shared" si="25"/>
        <v>395.7</v>
      </c>
      <c r="K771" s="17" t="s">
        <v>43</v>
      </c>
    </row>
    <row r="772" spans="1:11" x14ac:dyDescent="0.25">
      <c r="A772" s="17" t="s">
        <v>1105</v>
      </c>
      <c r="B772" s="19">
        <v>46132</v>
      </c>
      <c r="C772" s="20">
        <f t="shared" si="24"/>
        <v>46113</v>
      </c>
      <c r="D772" s="17" t="s">
        <v>1106</v>
      </c>
      <c r="E772" s="17" t="s">
        <v>19</v>
      </c>
      <c r="F772" s="17" t="s">
        <v>30</v>
      </c>
      <c r="G772" s="21">
        <v>2</v>
      </c>
      <c r="H772" s="12">
        <v>125.8</v>
      </c>
      <c r="I772" s="22">
        <v>0.15</v>
      </c>
      <c r="J772" s="12">
        <f t="shared" si="25"/>
        <v>213.86</v>
      </c>
      <c r="K772" s="17" t="s">
        <v>43</v>
      </c>
    </row>
    <row r="773" spans="1:11" x14ac:dyDescent="0.25">
      <c r="A773" s="17" t="s">
        <v>1107</v>
      </c>
      <c r="B773" s="19">
        <v>46132</v>
      </c>
      <c r="C773" s="20">
        <f t="shared" si="24"/>
        <v>46113</v>
      </c>
      <c r="D773" s="17" t="s">
        <v>999</v>
      </c>
      <c r="E773" s="17" t="s">
        <v>22</v>
      </c>
      <c r="F773" s="17" t="s">
        <v>30</v>
      </c>
      <c r="G773" s="21">
        <v>3</v>
      </c>
      <c r="H773" s="12">
        <v>100.63</v>
      </c>
      <c r="I773" s="22">
        <v>0</v>
      </c>
      <c r="J773" s="12">
        <f t="shared" si="25"/>
        <v>301.89</v>
      </c>
      <c r="K773" s="17" t="s">
        <v>43</v>
      </c>
    </row>
    <row r="774" spans="1:11" x14ac:dyDescent="0.25">
      <c r="A774" s="17" t="s">
        <v>1108</v>
      </c>
      <c r="B774" s="19">
        <v>46132</v>
      </c>
      <c r="C774" s="20">
        <f t="shared" si="24"/>
        <v>46113</v>
      </c>
      <c r="D774" s="17" t="s">
        <v>144</v>
      </c>
      <c r="E774" s="17" t="s">
        <v>25</v>
      </c>
      <c r="F774" s="17" t="s">
        <v>30</v>
      </c>
      <c r="G774" s="21">
        <v>3</v>
      </c>
      <c r="H774" s="12">
        <v>30.8</v>
      </c>
      <c r="I774" s="22">
        <v>0</v>
      </c>
      <c r="J774" s="12">
        <f t="shared" si="25"/>
        <v>92.4</v>
      </c>
      <c r="K774" s="17" t="s">
        <v>43</v>
      </c>
    </row>
    <row r="775" spans="1:11" x14ac:dyDescent="0.25">
      <c r="A775" s="17" t="s">
        <v>1109</v>
      </c>
      <c r="B775" s="19">
        <v>46132</v>
      </c>
      <c r="C775" s="20">
        <f t="shared" si="24"/>
        <v>46113</v>
      </c>
      <c r="D775" s="17" t="s">
        <v>255</v>
      </c>
      <c r="E775" s="17" t="s">
        <v>20</v>
      </c>
      <c r="F775" s="17" t="s">
        <v>31</v>
      </c>
      <c r="G775" s="21">
        <v>2</v>
      </c>
      <c r="H775" s="12">
        <v>89.46</v>
      </c>
      <c r="I775" s="22">
        <v>0.05</v>
      </c>
      <c r="J775" s="12">
        <f t="shared" si="25"/>
        <v>169.97</v>
      </c>
      <c r="K775" s="17" t="s">
        <v>48</v>
      </c>
    </row>
    <row r="776" spans="1:11" x14ac:dyDescent="0.25">
      <c r="A776" s="17" t="s">
        <v>1110</v>
      </c>
      <c r="B776" s="19">
        <v>46132</v>
      </c>
      <c r="C776" s="20">
        <f t="shared" si="24"/>
        <v>46113</v>
      </c>
      <c r="D776" s="17" t="s">
        <v>97</v>
      </c>
      <c r="E776" s="17" t="s">
        <v>21</v>
      </c>
      <c r="F776" s="17" t="s">
        <v>31</v>
      </c>
      <c r="G776" s="21">
        <v>2</v>
      </c>
      <c r="H776" s="12">
        <v>78.5</v>
      </c>
      <c r="I776" s="22">
        <v>0</v>
      </c>
      <c r="J776" s="12">
        <f t="shared" si="25"/>
        <v>157</v>
      </c>
      <c r="K776" s="17" t="s">
        <v>48</v>
      </c>
    </row>
    <row r="777" spans="1:11" x14ac:dyDescent="0.25">
      <c r="A777" s="17" t="s">
        <v>1111</v>
      </c>
      <c r="B777" s="19">
        <v>46132</v>
      </c>
      <c r="C777" s="20">
        <f t="shared" si="24"/>
        <v>46113</v>
      </c>
      <c r="D777" s="17" t="s">
        <v>1112</v>
      </c>
      <c r="E777" s="17" t="s">
        <v>20</v>
      </c>
      <c r="F777" s="17" t="s">
        <v>31</v>
      </c>
      <c r="G777" s="21">
        <v>5</v>
      </c>
      <c r="H777" s="12">
        <v>88.99</v>
      </c>
      <c r="I777" s="22">
        <v>0</v>
      </c>
      <c r="J777" s="12">
        <f t="shared" si="25"/>
        <v>444.95</v>
      </c>
      <c r="K777" s="17" t="s">
        <v>48</v>
      </c>
    </row>
    <row r="778" spans="1:11" x14ac:dyDescent="0.25">
      <c r="A778" s="17" t="s">
        <v>1113</v>
      </c>
      <c r="B778" s="19">
        <v>46133</v>
      </c>
      <c r="C778" s="20">
        <f t="shared" si="24"/>
        <v>46113</v>
      </c>
      <c r="D778" s="17" t="s">
        <v>506</v>
      </c>
      <c r="E778" s="17" t="s">
        <v>20</v>
      </c>
      <c r="F778" s="17" t="s">
        <v>30</v>
      </c>
      <c r="G778" s="21">
        <v>3</v>
      </c>
      <c r="H778" s="12">
        <v>88.58</v>
      </c>
      <c r="I778" s="22">
        <v>0</v>
      </c>
      <c r="J778" s="12">
        <f t="shared" si="25"/>
        <v>265.74</v>
      </c>
      <c r="K778" s="17" t="s">
        <v>59</v>
      </c>
    </row>
    <row r="779" spans="1:11" x14ac:dyDescent="0.25">
      <c r="A779" s="17" t="s">
        <v>1114</v>
      </c>
      <c r="B779" s="19">
        <v>46133</v>
      </c>
      <c r="C779" s="20">
        <f t="shared" si="24"/>
        <v>46113</v>
      </c>
      <c r="D779" s="17" t="s">
        <v>412</v>
      </c>
      <c r="E779" s="17" t="s">
        <v>23</v>
      </c>
      <c r="F779" s="17" t="s">
        <v>30</v>
      </c>
      <c r="G779" s="21">
        <v>1</v>
      </c>
      <c r="H779" s="12">
        <v>58.03</v>
      </c>
      <c r="I779" s="22">
        <v>0.05</v>
      </c>
      <c r="J779" s="12">
        <f t="shared" si="25"/>
        <v>55.13</v>
      </c>
      <c r="K779" s="17" t="s">
        <v>59</v>
      </c>
    </row>
    <row r="780" spans="1:11" x14ac:dyDescent="0.25">
      <c r="A780" s="17" t="s">
        <v>1115</v>
      </c>
      <c r="B780" s="19">
        <v>46133</v>
      </c>
      <c r="C780" s="20">
        <f t="shared" si="24"/>
        <v>46113</v>
      </c>
      <c r="D780" s="17" t="s">
        <v>934</v>
      </c>
      <c r="E780" s="17" t="s">
        <v>27</v>
      </c>
      <c r="F780" s="17" t="s">
        <v>30</v>
      </c>
      <c r="G780" s="21">
        <v>5</v>
      </c>
      <c r="H780" s="12">
        <v>12.99</v>
      </c>
      <c r="I780" s="22">
        <v>0</v>
      </c>
      <c r="J780" s="12">
        <f t="shared" si="25"/>
        <v>64.95</v>
      </c>
      <c r="K780" s="17" t="s">
        <v>43</v>
      </c>
    </row>
    <row r="781" spans="1:11" x14ac:dyDescent="0.25">
      <c r="A781" s="17" t="s">
        <v>1116</v>
      </c>
      <c r="B781" s="19">
        <v>46133</v>
      </c>
      <c r="C781" s="20">
        <f t="shared" si="24"/>
        <v>46113</v>
      </c>
      <c r="D781" s="17" t="s">
        <v>344</v>
      </c>
      <c r="E781" s="17" t="s">
        <v>19</v>
      </c>
      <c r="F781" s="17" t="s">
        <v>31</v>
      </c>
      <c r="G781" s="21">
        <v>1</v>
      </c>
      <c r="H781" s="12">
        <v>126.7</v>
      </c>
      <c r="I781" s="22">
        <v>0</v>
      </c>
      <c r="J781" s="12">
        <f t="shared" si="25"/>
        <v>126.7</v>
      </c>
      <c r="K781" s="17" t="s">
        <v>48</v>
      </c>
    </row>
    <row r="782" spans="1:11" x14ac:dyDescent="0.25">
      <c r="A782" s="17" t="s">
        <v>1117</v>
      </c>
      <c r="B782" s="19">
        <v>46134</v>
      </c>
      <c r="C782" s="20">
        <f t="shared" si="24"/>
        <v>46113</v>
      </c>
      <c r="D782" s="17" t="s">
        <v>153</v>
      </c>
      <c r="E782" s="17" t="s">
        <v>23</v>
      </c>
      <c r="F782" s="17" t="s">
        <v>30</v>
      </c>
      <c r="G782" s="21">
        <v>1</v>
      </c>
      <c r="H782" s="12">
        <v>59.13</v>
      </c>
      <c r="I782" s="22">
        <v>0.05</v>
      </c>
      <c r="J782" s="12">
        <f t="shared" si="25"/>
        <v>56.17</v>
      </c>
      <c r="K782" s="17" t="s">
        <v>43</v>
      </c>
    </row>
    <row r="783" spans="1:11" x14ac:dyDescent="0.25">
      <c r="A783" s="17" t="s">
        <v>1118</v>
      </c>
      <c r="B783" s="19">
        <v>46134</v>
      </c>
      <c r="C783" s="20">
        <f t="shared" si="24"/>
        <v>46113</v>
      </c>
      <c r="D783" s="17" t="s">
        <v>487</v>
      </c>
      <c r="E783" s="17" t="s">
        <v>22</v>
      </c>
      <c r="F783" s="17" t="s">
        <v>30</v>
      </c>
      <c r="G783" s="21">
        <v>4</v>
      </c>
      <c r="H783" s="12">
        <v>99.59</v>
      </c>
      <c r="I783" s="22">
        <v>0</v>
      </c>
      <c r="J783" s="12">
        <f t="shared" si="25"/>
        <v>398.36</v>
      </c>
      <c r="K783" s="17" t="s">
        <v>43</v>
      </c>
    </row>
    <row r="784" spans="1:11" x14ac:dyDescent="0.25">
      <c r="A784" s="17" t="s">
        <v>1119</v>
      </c>
      <c r="B784" s="19">
        <v>46134</v>
      </c>
      <c r="C784" s="20">
        <f t="shared" si="24"/>
        <v>46113</v>
      </c>
      <c r="D784" s="17" t="s">
        <v>301</v>
      </c>
      <c r="E784" s="17" t="s">
        <v>23</v>
      </c>
      <c r="F784" s="17" t="s">
        <v>30</v>
      </c>
      <c r="G784" s="21">
        <v>1</v>
      </c>
      <c r="H784" s="12">
        <v>59.64</v>
      </c>
      <c r="I784" s="22">
        <v>0.05</v>
      </c>
      <c r="J784" s="12">
        <f t="shared" si="25"/>
        <v>56.66</v>
      </c>
      <c r="K784" s="17" t="s">
        <v>43</v>
      </c>
    </row>
    <row r="785" spans="1:11" x14ac:dyDescent="0.25">
      <c r="A785" s="17" t="s">
        <v>1120</v>
      </c>
      <c r="B785" s="19">
        <v>46134</v>
      </c>
      <c r="C785" s="20">
        <f t="shared" si="24"/>
        <v>46113</v>
      </c>
      <c r="D785" s="17" t="s">
        <v>661</v>
      </c>
      <c r="E785" s="17" t="s">
        <v>22</v>
      </c>
      <c r="F785" s="17" t="s">
        <v>31</v>
      </c>
      <c r="G785" s="21">
        <v>1</v>
      </c>
      <c r="H785" s="12">
        <v>100.37</v>
      </c>
      <c r="I785" s="22">
        <v>0.15</v>
      </c>
      <c r="J785" s="12">
        <f t="shared" si="25"/>
        <v>85.31</v>
      </c>
      <c r="K785" s="17" t="s">
        <v>48</v>
      </c>
    </row>
    <row r="786" spans="1:11" x14ac:dyDescent="0.25">
      <c r="A786" s="17" t="s">
        <v>1121</v>
      </c>
      <c r="B786" s="19">
        <v>46134</v>
      </c>
      <c r="C786" s="20">
        <f t="shared" si="24"/>
        <v>46113</v>
      </c>
      <c r="D786" s="17" t="s">
        <v>1122</v>
      </c>
      <c r="E786" s="17" t="s">
        <v>16</v>
      </c>
      <c r="F786" s="17" t="s">
        <v>31</v>
      </c>
      <c r="G786" s="21">
        <v>1</v>
      </c>
      <c r="H786" s="12">
        <v>247.68</v>
      </c>
      <c r="I786" s="22">
        <v>0.1</v>
      </c>
      <c r="J786" s="12">
        <f t="shared" si="25"/>
        <v>222.91</v>
      </c>
      <c r="K786" s="17" t="s">
        <v>48</v>
      </c>
    </row>
    <row r="787" spans="1:11" x14ac:dyDescent="0.25">
      <c r="A787" s="17" t="s">
        <v>1123</v>
      </c>
      <c r="B787" s="19">
        <v>46134</v>
      </c>
      <c r="C787" s="20">
        <f t="shared" si="24"/>
        <v>46113</v>
      </c>
      <c r="D787" s="17" t="s">
        <v>78</v>
      </c>
      <c r="E787" s="17" t="s">
        <v>22</v>
      </c>
      <c r="F787" s="17" t="s">
        <v>31</v>
      </c>
      <c r="G787" s="21">
        <v>3</v>
      </c>
      <c r="H787" s="12">
        <v>100.18</v>
      </c>
      <c r="I787" s="22">
        <v>0</v>
      </c>
      <c r="J787" s="12">
        <f t="shared" si="25"/>
        <v>300.54000000000002</v>
      </c>
      <c r="K787" s="17" t="s">
        <v>48</v>
      </c>
    </row>
    <row r="788" spans="1:11" x14ac:dyDescent="0.25">
      <c r="A788" s="17" t="s">
        <v>1124</v>
      </c>
      <c r="B788" s="19">
        <v>46134</v>
      </c>
      <c r="C788" s="20">
        <f t="shared" si="24"/>
        <v>46113</v>
      </c>
      <c r="D788" s="17" t="s">
        <v>364</v>
      </c>
      <c r="E788" s="17" t="s">
        <v>17</v>
      </c>
      <c r="F788" s="17" t="s">
        <v>31</v>
      </c>
      <c r="G788" s="21">
        <v>2</v>
      </c>
      <c r="H788" s="12">
        <v>214.9</v>
      </c>
      <c r="I788" s="22">
        <v>0.15</v>
      </c>
      <c r="J788" s="12">
        <f t="shared" si="25"/>
        <v>365.33</v>
      </c>
      <c r="K788" s="17" t="s">
        <v>48</v>
      </c>
    </row>
    <row r="789" spans="1:11" x14ac:dyDescent="0.25">
      <c r="A789" s="17" t="s">
        <v>1125</v>
      </c>
      <c r="B789" s="19">
        <v>46134</v>
      </c>
      <c r="C789" s="20">
        <f t="shared" si="24"/>
        <v>46113</v>
      </c>
      <c r="D789" s="17" t="s">
        <v>67</v>
      </c>
      <c r="E789" s="17" t="s">
        <v>23</v>
      </c>
      <c r="F789" s="17" t="s">
        <v>31</v>
      </c>
      <c r="G789" s="21">
        <v>1</v>
      </c>
      <c r="H789" s="12">
        <v>59.22</v>
      </c>
      <c r="I789" s="22">
        <v>0.15</v>
      </c>
      <c r="J789" s="12">
        <f t="shared" si="25"/>
        <v>50.34</v>
      </c>
      <c r="K789" s="17" t="s">
        <v>48</v>
      </c>
    </row>
    <row r="790" spans="1:11" x14ac:dyDescent="0.25">
      <c r="A790" s="17" t="s">
        <v>1126</v>
      </c>
      <c r="B790" s="19">
        <v>46134</v>
      </c>
      <c r="C790" s="20">
        <f t="shared" si="24"/>
        <v>46113</v>
      </c>
      <c r="D790" s="17" t="s">
        <v>633</v>
      </c>
      <c r="E790" s="17" t="s">
        <v>25</v>
      </c>
      <c r="F790" s="17" t="s">
        <v>31</v>
      </c>
      <c r="G790" s="21">
        <v>4</v>
      </c>
      <c r="H790" s="12">
        <v>29.42</v>
      </c>
      <c r="I790" s="22">
        <v>0.1</v>
      </c>
      <c r="J790" s="12">
        <f t="shared" si="25"/>
        <v>105.91</v>
      </c>
      <c r="K790" s="17" t="s">
        <v>48</v>
      </c>
    </row>
    <row r="791" spans="1:11" x14ac:dyDescent="0.25">
      <c r="A791" s="17" t="s">
        <v>1127</v>
      </c>
      <c r="B791" s="19">
        <v>46134</v>
      </c>
      <c r="C791" s="20">
        <f t="shared" si="24"/>
        <v>46113</v>
      </c>
      <c r="D791" s="17" t="s">
        <v>555</v>
      </c>
      <c r="E791" s="17" t="s">
        <v>21</v>
      </c>
      <c r="F791" s="17" t="s">
        <v>31</v>
      </c>
      <c r="G791" s="21">
        <v>4</v>
      </c>
      <c r="H791" s="12">
        <v>80.430000000000007</v>
      </c>
      <c r="I791" s="22">
        <v>0</v>
      </c>
      <c r="J791" s="12">
        <f t="shared" si="25"/>
        <v>321.72000000000003</v>
      </c>
      <c r="K791" s="17" t="s">
        <v>48</v>
      </c>
    </row>
    <row r="792" spans="1:11" x14ac:dyDescent="0.25">
      <c r="A792" s="17" t="s">
        <v>1128</v>
      </c>
      <c r="B792" s="19">
        <v>46135</v>
      </c>
      <c r="C792" s="20">
        <f t="shared" si="24"/>
        <v>46113</v>
      </c>
      <c r="D792" s="17" t="s">
        <v>61</v>
      </c>
      <c r="E792" s="17" t="s">
        <v>26</v>
      </c>
      <c r="F792" s="17" t="s">
        <v>30</v>
      </c>
      <c r="G792" s="21">
        <v>2</v>
      </c>
      <c r="H792" s="12">
        <v>24.81</v>
      </c>
      <c r="I792" s="22">
        <v>0.1</v>
      </c>
      <c r="J792" s="12">
        <f t="shared" si="25"/>
        <v>44.66</v>
      </c>
      <c r="K792" s="17" t="s">
        <v>43</v>
      </c>
    </row>
    <row r="793" spans="1:11" x14ac:dyDescent="0.25">
      <c r="A793" s="17" t="s">
        <v>1129</v>
      </c>
      <c r="B793" s="19">
        <v>46135</v>
      </c>
      <c r="C793" s="20">
        <f t="shared" si="24"/>
        <v>46113</v>
      </c>
      <c r="D793" s="17" t="s">
        <v>253</v>
      </c>
      <c r="E793" s="17" t="s">
        <v>24</v>
      </c>
      <c r="F793" s="17" t="s">
        <v>31</v>
      </c>
      <c r="G793" s="21">
        <v>5</v>
      </c>
      <c r="H793" s="12">
        <v>35.770000000000003</v>
      </c>
      <c r="I793" s="22">
        <v>0.15</v>
      </c>
      <c r="J793" s="12">
        <f t="shared" si="25"/>
        <v>152.02000000000001</v>
      </c>
      <c r="K793" s="17" t="s">
        <v>48</v>
      </c>
    </row>
    <row r="794" spans="1:11" x14ac:dyDescent="0.25">
      <c r="A794" s="17" t="s">
        <v>1130</v>
      </c>
      <c r="B794" s="19">
        <v>46135</v>
      </c>
      <c r="C794" s="20">
        <f t="shared" si="24"/>
        <v>46113</v>
      </c>
      <c r="D794" s="17" t="s">
        <v>122</v>
      </c>
      <c r="E794" s="17" t="s">
        <v>19</v>
      </c>
      <c r="F794" s="17" t="s">
        <v>31</v>
      </c>
      <c r="G794" s="21">
        <v>5</v>
      </c>
      <c r="H794" s="12">
        <v>127.25</v>
      </c>
      <c r="I794" s="22">
        <v>0.05</v>
      </c>
      <c r="J794" s="12">
        <f t="shared" si="25"/>
        <v>604.44000000000005</v>
      </c>
      <c r="K794" s="17" t="s">
        <v>48</v>
      </c>
    </row>
    <row r="795" spans="1:11" x14ac:dyDescent="0.25">
      <c r="A795" s="17" t="s">
        <v>1131</v>
      </c>
      <c r="B795" s="19">
        <v>46135</v>
      </c>
      <c r="C795" s="20">
        <f t="shared" si="24"/>
        <v>46113</v>
      </c>
      <c r="D795" s="17" t="s">
        <v>1075</v>
      </c>
      <c r="E795" s="17" t="s">
        <v>26</v>
      </c>
      <c r="F795" s="17" t="s">
        <v>31</v>
      </c>
      <c r="G795" s="21">
        <v>3</v>
      </c>
      <c r="H795" s="12">
        <v>25.19</v>
      </c>
      <c r="I795" s="22">
        <v>0.15</v>
      </c>
      <c r="J795" s="12">
        <f t="shared" si="25"/>
        <v>64.23</v>
      </c>
      <c r="K795" s="17" t="s">
        <v>48</v>
      </c>
    </row>
    <row r="796" spans="1:11" x14ac:dyDescent="0.25">
      <c r="A796" s="17" t="s">
        <v>1132</v>
      </c>
      <c r="B796" s="19">
        <v>46135</v>
      </c>
      <c r="C796" s="20">
        <f t="shared" si="24"/>
        <v>46113</v>
      </c>
      <c r="D796" s="17" t="s">
        <v>318</v>
      </c>
      <c r="E796" s="17" t="s">
        <v>16</v>
      </c>
      <c r="F796" s="17" t="s">
        <v>31</v>
      </c>
      <c r="G796" s="21">
        <v>5</v>
      </c>
      <c r="H796" s="12">
        <v>243.64</v>
      </c>
      <c r="I796" s="22">
        <v>0</v>
      </c>
      <c r="J796" s="12">
        <f t="shared" si="25"/>
        <v>1218.2</v>
      </c>
      <c r="K796" s="17" t="s">
        <v>48</v>
      </c>
    </row>
    <row r="797" spans="1:11" x14ac:dyDescent="0.25">
      <c r="A797" s="17" t="s">
        <v>1133</v>
      </c>
      <c r="B797" s="19">
        <v>46135</v>
      </c>
      <c r="C797" s="20">
        <f t="shared" si="24"/>
        <v>46113</v>
      </c>
      <c r="D797" s="17" t="s">
        <v>225</v>
      </c>
      <c r="E797" s="17" t="s">
        <v>18</v>
      </c>
      <c r="F797" s="17" t="s">
        <v>31</v>
      </c>
      <c r="G797" s="21">
        <v>5</v>
      </c>
      <c r="H797" s="12">
        <v>146.51</v>
      </c>
      <c r="I797" s="22">
        <v>0.15</v>
      </c>
      <c r="J797" s="12">
        <f t="shared" si="25"/>
        <v>622.66999999999996</v>
      </c>
      <c r="K797" s="17" t="s">
        <v>48</v>
      </c>
    </row>
    <row r="798" spans="1:11" x14ac:dyDescent="0.25">
      <c r="A798" s="17" t="s">
        <v>1134</v>
      </c>
      <c r="B798" s="19">
        <v>46136</v>
      </c>
      <c r="C798" s="20">
        <f t="shared" si="24"/>
        <v>46113</v>
      </c>
      <c r="D798" s="17" t="s">
        <v>287</v>
      </c>
      <c r="E798" s="17" t="s">
        <v>19</v>
      </c>
      <c r="F798" s="17" t="s">
        <v>30</v>
      </c>
      <c r="G798" s="21">
        <v>1</v>
      </c>
      <c r="H798" s="12">
        <v>127.98</v>
      </c>
      <c r="I798" s="22">
        <v>0</v>
      </c>
      <c r="J798" s="12">
        <f t="shared" si="25"/>
        <v>127.98</v>
      </c>
      <c r="K798" s="17" t="s">
        <v>59</v>
      </c>
    </row>
    <row r="799" spans="1:11" x14ac:dyDescent="0.25">
      <c r="A799" s="17" t="s">
        <v>1135</v>
      </c>
      <c r="B799" s="19">
        <v>46136</v>
      </c>
      <c r="C799" s="20">
        <f t="shared" si="24"/>
        <v>46113</v>
      </c>
      <c r="D799" s="17" t="s">
        <v>268</v>
      </c>
      <c r="E799" s="17" t="s">
        <v>18</v>
      </c>
      <c r="F799" s="17" t="s">
        <v>30</v>
      </c>
      <c r="G799" s="21">
        <v>2</v>
      </c>
      <c r="H799" s="12">
        <v>150.04</v>
      </c>
      <c r="I799" s="22">
        <v>0</v>
      </c>
      <c r="J799" s="12">
        <f t="shared" si="25"/>
        <v>300.08</v>
      </c>
      <c r="K799" s="17" t="s">
        <v>43</v>
      </c>
    </row>
    <row r="800" spans="1:11" x14ac:dyDescent="0.25">
      <c r="A800" s="17" t="s">
        <v>1136</v>
      </c>
      <c r="B800" s="19">
        <v>46136</v>
      </c>
      <c r="C800" s="20">
        <f t="shared" si="24"/>
        <v>46113</v>
      </c>
      <c r="D800" s="17" t="s">
        <v>473</v>
      </c>
      <c r="E800" s="17" t="s">
        <v>27</v>
      </c>
      <c r="F800" s="17" t="s">
        <v>31</v>
      </c>
      <c r="G800" s="21">
        <v>1</v>
      </c>
      <c r="H800" s="12">
        <v>12.66</v>
      </c>
      <c r="I800" s="22">
        <v>0</v>
      </c>
      <c r="J800" s="12">
        <f t="shared" si="25"/>
        <v>12.66</v>
      </c>
      <c r="K800" s="17" t="s">
        <v>48</v>
      </c>
    </row>
    <row r="801" spans="1:11" x14ac:dyDescent="0.25">
      <c r="A801" s="17" t="s">
        <v>1137</v>
      </c>
      <c r="B801" s="19">
        <v>46136</v>
      </c>
      <c r="C801" s="20">
        <f t="shared" si="24"/>
        <v>46113</v>
      </c>
      <c r="D801" s="17" t="s">
        <v>150</v>
      </c>
      <c r="E801" s="17" t="s">
        <v>20</v>
      </c>
      <c r="F801" s="17" t="s">
        <v>31</v>
      </c>
      <c r="G801" s="21">
        <v>3</v>
      </c>
      <c r="H801" s="12">
        <v>88.48</v>
      </c>
      <c r="I801" s="22">
        <v>0</v>
      </c>
      <c r="J801" s="12">
        <f t="shared" si="25"/>
        <v>265.44</v>
      </c>
      <c r="K801" s="17" t="s">
        <v>48</v>
      </c>
    </row>
    <row r="802" spans="1:11" x14ac:dyDescent="0.25">
      <c r="A802" s="17" t="s">
        <v>1138</v>
      </c>
      <c r="B802" s="19">
        <v>46137</v>
      </c>
      <c r="C802" s="20">
        <f t="shared" si="24"/>
        <v>46113</v>
      </c>
      <c r="D802" s="17" t="s">
        <v>374</v>
      </c>
      <c r="E802" s="17" t="s">
        <v>17</v>
      </c>
      <c r="F802" s="17" t="s">
        <v>30</v>
      </c>
      <c r="G802" s="21">
        <v>2</v>
      </c>
      <c r="H802" s="12">
        <v>215.49</v>
      </c>
      <c r="I802" s="22">
        <v>0</v>
      </c>
      <c r="J802" s="12">
        <f t="shared" si="25"/>
        <v>430.98</v>
      </c>
      <c r="K802" s="17" t="s">
        <v>59</v>
      </c>
    </row>
    <row r="803" spans="1:11" x14ac:dyDescent="0.25">
      <c r="A803" s="17" t="s">
        <v>1139</v>
      </c>
      <c r="B803" s="19">
        <v>46137</v>
      </c>
      <c r="C803" s="20">
        <f t="shared" si="24"/>
        <v>46113</v>
      </c>
      <c r="D803" s="17" t="s">
        <v>78</v>
      </c>
      <c r="E803" s="17" t="s">
        <v>27</v>
      </c>
      <c r="F803" s="17" t="s">
        <v>30</v>
      </c>
      <c r="G803" s="21">
        <v>2</v>
      </c>
      <c r="H803" s="12">
        <v>12.66</v>
      </c>
      <c r="I803" s="22">
        <v>0.15</v>
      </c>
      <c r="J803" s="12">
        <f t="shared" si="25"/>
        <v>21.52</v>
      </c>
      <c r="K803" s="17" t="s">
        <v>43</v>
      </c>
    </row>
    <row r="804" spans="1:11" x14ac:dyDescent="0.25">
      <c r="A804" s="17" t="s">
        <v>1140</v>
      </c>
      <c r="B804" s="19">
        <v>46137</v>
      </c>
      <c r="C804" s="20">
        <f t="shared" si="24"/>
        <v>46113</v>
      </c>
      <c r="D804" s="17" t="s">
        <v>1141</v>
      </c>
      <c r="E804" s="17" t="s">
        <v>16</v>
      </c>
      <c r="F804" s="17" t="s">
        <v>31</v>
      </c>
      <c r="G804" s="21">
        <v>5</v>
      </c>
      <c r="H804" s="12">
        <v>245.25</v>
      </c>
      <c r="I804" s="22">
        <v>0.1</v>
      </c>
      <c r="J804" s="12">
        <f t="shared" si="25"/>
        <v>1103.6300000000001</v>
      </c>
      <c r="K804" s="17" t="s">
        <v>48</v>
      </c>
    </row>
    <row r="805" spans="1:11" x14ac:dyDescent="0.25">
      <c r="A805" s="17" t="s">
        <v>1142</v>
      </c>
      <c r="B805" s="19">
        <v>46137</v>
      </c>
      <c r="C805" s="20">
        <f t="shared" si="24"/>
        <v>46113</v>
      </c>
      <c r="D805" s="17" t="s">
        <v>310</v>
      </c>
      <c r="E805" s="17" t="s">
        <v>16</v>
      </c>
      <c r="F805" s="17" t="s">
        <v>31</v>
      </c>
      <c r="G805" s="21">
        <v>2</v>
      </c>
      <c r="H805" s="12">
        <v>251.41</v>
      </c>
      <c r="I805" s="22">
        <v>0</v>
      </c>
      <c r="J805" s="12">
        <f t="shared" si="25"/>
        <v>502.82</v>
      </c>
      <c r="K805" s="17" t="s">
        <v>48</v>
      </c>
    </row>
    <row r="806" spans="1:11" x14ac:dyDescent="0.25">
      <c r="A806" s="17" t="s">
        <v>1143</v>
      </c>
      <c r="B806" s="19">
        <v>46137</v>
      </c>
      <c r="C806" s="20">
        <f t="shared" si="24"/>
        <v>46113</v>
      </c>
      <c r="D806" s="17" t="s">
        <v>568</v>
      </c>
      <c r="E806" s="17" t="s">
        <v>20</v>
      </c>
      <c r="F806" s="17" t="s">
        <v>31</v>
      </c>
      <c r="G806" s="21">
        <v>1</v>
      </c>
      <c r="H806" s="12">
        <v>87.95</v>
      </c>
      <c r="I806" s="22">
        <v>0</v>
      </c>
      <c r="J806" s="12">
        <f t="shared" si="25"/>
        <v>87.95</v>
      </c>
      <c r="K806" s="17" t="s">
        <v>48</v>
      </c>
    </row>
    <row r="807" spans="1:11" x14ac:dyDescent="0.25">
      <c r="A807" s="17" t="s">
        <v>1144</v>
      </c>
      <c r="B807" s="19">
        <v>46138</v>
      </c>
      <c r="C807" s="20">
        <f t="shared" si="24"/>
        <v>46113</v>
      </c>
      <c r="D807" s="17" t="s">
        <v>502</v>
      </c>
      <c r="E807" s="17" t="s">
        <v>19</v>
      </c>
      <c r="F807" s="17" t="s">
        <v>30</v>
      </c>
      <c r="G807" s="21">
        <v>2</v>
      </c>
      <c r="H807" s="12">
        <v>132.22</v>
      </c>
      <c r="I807" s="22">
        <v>0</v>
      </c>
      <c r="J807" s="12">
        <f t="shared" si="25"/>
        <v>264.44</v>
      </c>
      <c r="K807" s="17" t="s">
        <v>59</v>
      </c>
    </row>
    <row r="808" spans="1:11" x14ac:dyDescent="0.25">
      <c r="A808" s="17" t="s">
        <v>1145</v>
      </c>
      <c r="B808" s="19">
        <v>46138</v>
      </c>
      <c r="C808" s="20">
        <f t="shared" si="24"/>
        <v>46113</v>
      </c>
      <c r="D808" s="17" t="s">
        <v>1146</v>
      </c>
      <c r="E808" s="17" t="s">
        <v>25</v>
      </c>
      <c r="F808" s="17" t="s">
        <v>30</v>
      </c>
      <c r="G808" s="21">
        <v>1</v>
      </c>
      <c r="H808" s="12">
        <v>29.84</v>
      </c>
      <c r="I808" s="22">
        <v>0.05</v>
      </c>
      <c r="J808" s="12">
        <f t="shared" si="25"/>
        <v>28.35</v>
      </c>
      <c r="K808" s="17" t="s">
        <v>59</v>
      </c>
    </row>
    <row r="809" spans="1:11" x14ac:dyDescent="0.25">
      <c r="A809" s="17" t="s">
        <v>1147</v>
      </c>
      <c r="B809" s="19">
        <v>46138</v>
      </c>
      <c r="C809" s="20">
        <f t="shared" si="24"/>
        <v>46113</v>
      </c>
      <c r="D809" s="17" t="s">
        <v>1148</v>
      </c>
      <c r="E809" s="17" t="s">
        <v>17</v>
      </c>
      <c r="F809" s="17" t="s">
        <v>30</v>
      </c>
      <c r="G809" s="21">
        <v>3</v>
      </c>
      <c r="H809" s="12">
        <v>215.89</v>
      </c>
      <c r="I809" s="22">
        <v>0.05</v>
      </c>
      <c r="J809" s="12">
        <f t="shared" si="25"/>
        <v>615.29</v>
      </c>
      <c r="K809" s="17" t="s">
        <v>59</v>
      </c>
    </row>
    <row r="810" spans="1:11" x14ac:dyDescent="0.25">
      <c r="A810" s="17" t="s">
        <v>1149</v>
      </c>
      <c r="B810" s="19">
        <v>46138</v>
      </c>
      <c r="C810" s="20">
        <f t="shared" si="24"/>
        <v>46113</v>
      </c>
      <c r="D810" s="17" t="s">
        <v>194</v>
      </c>
      <c r="E810" s="17" t="s">
        <v>20</v>
      </c>
      <c r="F810" s="17" t="s">
        <v>30</v>
      </c>
      <c r="G810" s="21">
        <v>5</v>
      </c>
      <c r="H810" s="12">
        <v>90.98</v>
      </c>
      <c r="I810" s="22">
        <v>0</v>
      </c>
      <c r="J810" s="12">
        <f t="shared" si="25"/>
        <v>454.9</v>
      </c>
      <c r="K810" s="17" t="s">
        <v>59</v>
      </c>
    </row>
    <row r="811" spans="1:11" x14ac:dyDescent="0.25">
      <c r="A811" s="17" t="s">
        <v>1150</v>
      </c>
      <c r="B811" s="19">
        <v>46138</v>
      </c>
      <c r="C811" s="20">
        <f t="shared" si="24"/>
        <v>46113</v>
      </c>
      <c r="D811" s="17" t="s">
        <v>306</v>
      </c>
      <c r="E811" s="17" t="s">
        <v>22</v>
      </c>
      <c r="F811" s="17" t="s">
        <v>30</v>
      </c>
      <c r="G811" s="21">
        <v>2</v>
      </c>
      <c r="H811" s="12">
        <v>99.86</v>
      </c>
      <c r="I811" s="22">
        <v>0.05</v>
      </c>
      <c r="J811" s="12">
        <f t="shared" si="25"/>
        <v>189.73</v>
      </c>
      <c r="K811" s="17" t="s">
        <v>43</v>
      </c>
    </row>
    <row r="812" spans="1:11" x14ac:dyDescent="0.25">
      <c r="A812" s="17" t="s">
        <v>1151</v>
      </c>
      <c r="B812" s="19">
        <v>46138</v>
      </c>
      <c r="C812" s="20">
        <f t="shared" si="24"/>
        <v>46113</v>
      </c>
      <c r="D812" s="17" t="s">
        <v>112</v>
      </c>
      <c r="E812" s="17" t="s">
        <v>17</v>
      </c>
      <c r="F812" s="17" t="s">
        <v>30</v>
      </c>
      <c r="G812" s="21">
        <v>2</v>
      </c>
      <c r="H812" s="12">
        <v>219.31</v>
      </c>
      <c r="I812" s="22">
        <v>0.05</v>
      </c>
      <c r="J812" s="12">
        <f t="shared" si="25"/>
        <v>416.69</v>
      </c>
      <c r="K812" s="17" t="s">
        <v>43</v>
      </c>
    </row>
    <row r="813" spans="1:11" x14ac:dyDescent="0.25">
      <c r="A813" s="17" t="s">
        <v>1152</v>
      </c>
      <c r="B813" s="19">
        <v>46138</v>
      </c>
      <c r="C813" s="20">
        <f t="shared" si="24"/>
        <v>46113</v>
      </c>
      <c r="D813" s="17" t="s">
        <v>546</v>
      </c>
      <c r="E813" s="17" t="s">
        <v>25</v>
      </c>
      <c r="F813" s="17" t="s">
        <v>31</v>
      </c>
      <c r="G813" s="21">
        <v>4</v>
      </c>
      <c r="H813" s="12">
        <v>29.7</v>
      </c>
      <c r="I813" s="22">
        <v>0</v>
      </c>
      <c r="J813" s="12">
        <f t="shared" si="25"/>
        <v>118.8</v>
      </c>
      <c r="K813" s="17" t="s">
        <v>48</v>
      </c>
    </row>
    <row r="814" spans="1:11" x14ac:dyDescent="0.25">
      <c r="A814" s="17" t="s">
        <v>1153</v>
      </c>
      <c r="B814" s="19">
        <v>46139</v>
      </c>
      <c r="C814" s="20">
        <f t="shared" si="24"/>
        <v>46113</v>
      </c>
      <c r="D814" s="17" t="s">
        <v>555</v>
      </c>
      <c r="E814" s="17" t="s">
        <v>26</v>
      </c>
      <c r="F814" s="17" t="s">
        <v>30</v>
      </c>
      <c r="G814" s="21">
        <v>2</v>
      </c>
      <c r="H814" s="12">
        <v>24.69</v>
      </c>
      <c r="I814" s="22">
        <v>0</v>
      </c>
      <c r="J814" s="12">
        <f t="shared" si="25"/>
        <v>49.38</v>
      </c>
      <c r="K814" s="17" t="s">
        <v>59</v>
      </c>
    </row>
    <row r="815" spans="1:11" x14ac:dyDescent="0.25">
      <c r="A815" s="17" t="s">
        <v>1154</v>
      </c>
      <c r="B815" s="19">
        <v>46139</v>
      </c>
      <c r="C815" s="20">
        <f t="shared" si="24"/>
        <v>46113</v>
      </c>
      <c r="D815" s="17" t="s">
        <v>386</v>
      </c>
      <c r="E815" s="17" t="s">
        <v>18</v>
      </c>
      <c r="F815" s="17" t="s">
        <v>30</v>
      </c>
      <c r="G815" s="21">
        <v>1</v>
      </c>
      <c r="H815" s="12">
        <v>152.27000000000001</v>
      </c>
      <c r="I815" s="22">
        <v>0.1</v>
      </c>
      <c r="J815" s="12">
        <f t="shared" si="25"/>
        <v>137.04</v>
      </c>
      <c r="K815" s="17" t="s">
        <v>59</v>
      </c>
    </row>
    <row r="816" spans="1:11" x14ac:dyDescent="0.25">
      <c r="A816" s="17" t="s">
        <v>1155</v>
      </c>
      <c r="B816" s="19">
        <v>46139</v>
      </c>
      <c r="C816" s="20">
        <f t="shared" si="24"/>
        <v>46113</v>
      </c>
      <c r="D816" s="17" t="s">
        <v>52</v>
      </c>
      <c r="E816" s="17" t="s">
        <v>27</v>
      </c>
      <c r="F816" s="17" t="s">
        <v>30</v>
      </c>
      <c r="G816" s="21">
        <v>4</v>
      </c>
      <c r="H816" s="12">
        <v>12.76</v>
      </c>
      <c r="I816" s="22">
        <v>0.05</v>
      </c>
      <c r="J816" s="12">
        <f t="shared" si="25"/>
        <v>48.49</v>
      </c>
      <c r="K816" s="17" t="s">
        <v>43</v>
      </c>
    </row>
    <row r="817" spans="1:11" x14ac:dyDescent="0.25">
      <c r="A817" s="17" t="s">
        <v>1156</v>
      </c>
      <c r="B817" s="19">
        <v>46139</v>
      </c>
      <c r="C817" s="20">
        <f t="shared" si="24"/>
        <v>46113</v>
      </c>
      <c r="D817" s="17" t="s">
        <v>429</v>
      </c>
      <c r="E817" s="17" t="s">
        <v>26</v>
      </c>
      <c r="F817" s="17" t="s">
        <v>30</v>
      </c>
      <c r="G817" s="21">
        <v>3</v>
      </c>
      <c r="H817" s="12">
        <v>25.14</v>
      </c>
      <c r="I817" s="22">
        <v>0</v>
      </c>
      <c r="J817" s="12">
        <f t="shared" si="25"/>
        <v>75.42</v>
      </c>
      <c r="K817" s="17" t="s">
        <v>43</v>
      </c>
    </row>
    <row r="818" spans="1:11" x14ac:dyDescent="0.25">
      <c r="A818" s="17" t="s">
        <v>1157</v>
      </c>
      <c r="B818" s="19">
        <v>46139</v>
      </c>
      <c r="C818" s="20">
        <f t="shared" si="24"/>
        <v>46113</v>
      </c>
      <c r="D818" s="17" t="s">
        <v>71</v>
      </c>
      <c r="E818" s="17" t="s">
        <v>23</v>
      </c>
      <c r="F818" s="17" t="s">
        <v>31</v>
      </c>
      <c r="G818" s="21">
        <v>2</v>
      </c>
      <c r="H818" s="12">
        <v>60.74</v>
      </c>
      <c r="I818" s="22">
        <v>0</v>
      </c>
      <c r="J818" s="12">
        <f t="shared" si="25"/>
        <v>121.48</v>
      </c>
      <c r="K818" s="17" t="s">
        <v>48</v>
      </c>
    </row>
    <row r="819" spans="1:11" x14ac:dyDescent="0.25">
      <c r="A819" s="17" t="s">
        <v>1158</v>
      </c>
      <c r="B819" s="19">
        <v>46140</v>
      </c>
      <c r="C819" s="20">
        <f t="shared" si="24"/>
        <v>46113</v>
      </c>
      <c r="D819" s="17" t="s">
        <v>54</v>
      </c>
      <c r="E819" s="17" t="s">
        <v>23</v>
      </c>
      <c r="F819" s="17" t="s">
        <v>30</v>
      </c>
      <c r="G819" s="21">
        <v>1</v>
      </c>
      <c r="H819" s="12">
        <v>59.11</v>
      </c>
      <c r="I819" s="22">
        <v>0.1</v>
      </c>
      <c r="J819" s="12">
        <f t="shared" si="25"/>
        <v>53.2</v>
      </c>
      <c r="K819" s="17" t="s">
        <v>59</v>
      </c>
    </row>
    <row r="820" spans="1:11" x14ac:dyDescent="0.25">
      <c r="A820" s="17" t="s">
        <v>1159</v>
      </c>
      <c r="B820" s="19">
        <v>46140</v>
      </c>
      <c r="C820" s="20">
        <f t="shared" si="24"/>
        <v>46113</v>
      </c>
      <c r="D820" s="17" t="s">
        <v>129</v>
      </c>
      <c r="E820" s="17" t="s">
        <v>17</v>
      </c>
      <c r="F820" s="17" t="s">
        <v>30</v>
      </c>
      <c r="G820" s="21">
        <v>1</v>
      </c>
      <c r="H820" s="12">
        <v>217.01</v>
      </c>
      <c r="I820" s="22">
        <v>0</v>
      </c>
      <c r="J820" s="12">
        <f t="shared" si="25"/>
        <v>217.01</v>
      </c>
      <c r="K820" s="17" t="s">
        <v>59</v>
      </c>
    </row>
    <row r="821" spans="1:11" x14ac:dyDescent="0.25">
      <c r="A821" s="17" t="s">
        <v>1160</v>
      </c>
      <c r="B821" s="19">
        <v>46140</v>
      </c>
      <c r="C821" s="20">
        <f t="shared" si="24"/>
        <v>46113</v>
      </c>
      <c r="D821" s="17" t="s">
        <v>834</v>
      </c>
      <c r="E821" s="17" t="s">
        <v>21</v>
      </c>
      <c r="F821" s="17" t="s">
        <v>30</v>
      </c>
      <c r="G821" s="21">
        <v>1</v>
      </c>
      <c r="H821" s="12">
        <v>76.680000000000007</v>
      </c>
      <c r="I821" s="22">
        <v>0</v>
      </c>
      <c r="J821" s="12">
        <f t="shared" si="25"/>
        <v>76.680000000000007</v>
      </c>
      <c r="K821" s="17" t="s">
        <v>59</v>
      </c>
    </row>
    <row r="822" spans="1:11" x14ac:dyDescent="0.25">
      <c r="A822" s="17" t="s">
        <v>1161</v>
      </c>
      <c r="B822" s="19">
        <v>46140</v>
      </c>
      <c r="C822" s="20">
        <f t="shared" si="24"/>
        <v>46113</v>
      </c>
      <c r="D822" s="17" t="s">
        <v>118</v>
      </c>
      <c r="E822" s="17" t="s">
        <v>18</v>
      </c>
      <c r="F822" s="17" t="s">
        <v>30</v>
      </c>
      <c r="G822" s="21">
        <v>3</v>
      </c>
      <c r="H822" s="12">
        <v>151.43</v>
      </c>
      <c r="I822" s="22">
        <v>0</v>
      </c>
      <c r="J822" s="12">
        <f t="shared" si="25"/>
        <v>454.29</v>
      </c>
      <c r="K822" s="17" t="s">
        <v>59</v>
      </c>
    </row>
    <row r="823" spans="1:11" x14ac:dyDescent="0.25">
      <c r="A823" s="17" t="s">
        <v>1162</v>
      </c>
      <c r="B823" s="19">
        <v>46140</v>
      </c>
      <c r="C823" s="20">
        <f t="shared" si="24"/>
        <v>46113</v>
      </c>
      <c r="D823" s="17" t="s">
        <v>301</v>
      </c>
      <c r="E823" s="17" t="s">
        <v>27</v>
      </c>
      <c r="F823" s="17" t="s">
        <v>30</v>
      </c>
      <c r="G823" s="21">
        <v>3</v>
      </c>
      <c r="H823" s="12">
        <v>12.88</v>
      </c>
      <c r="I823" s="22">
        <v>0.1</v>
      </c>
      <c r="J823" s="12">
        <f t="shared" si="25"/>
        <v>34.78</v>
      </c>
      <c r="K823" s="17" t="s">
        <v>43</v>
      </c>
    </row>
    <row r="824" spans="1:11" x14ac:dyDescent="0.25">
      <c r="A824" s="17" t="s">
        <v>1163</v>
      </c>
      <c r="B824" s="19">
        <v>46140</v>
      </c>
      <c r="C824" s="20">
        <f t="shared" si="24"/>
        <v>46113</v>
      </c>
      <c r="D824" s="17" t="s">
        <v>694</v>
      </c>
      <c r="E824" s="17" t="s">
        <v>21</v>
      </c>
      <c r="F824" s="17" t="s">
        <v>31</v>
      </c>
      <c r="G824" s="21">
        <v>2</v>
      </c>
      <c r="H824" s="12">
        <v>78.150000000000006</v>
      </c>
      <c r="I824" s="22">
        <v>0.1</v>
      </c>
      <c r="J824" s="12">
        <f t="shared" si="25"/>
        <v>140.66999999999999</v>
      </c>
      <c r="K824" s="17" t="s">
        <v>48</v>
      </c>
    </row>
    <row r="825" spans="1:11" x14ac:dyDescent="0.25">
      <c r="A825" s="17" t="s">
        <v>1164</v>
      </c>
      <c r="B825" s="19">
        <v>46140</v>
      </c>
      <c r="C825" s="20">
        <f t="shared" si="24"/>
        <v>46113</v>
      </c>
      <c r="D825" s="17" t="s">
        <v>287</v>
      </c>
      <c r="E825" s="17" t="s">
        <v>16</v>
      </c>
      <c r="F825" s="17" t="s">
        <v>31</v>
      </c>
      <c r="G825" s="21">
        <v>1</v>
      </c>
      <c r="H825" s="12">
        <v>255.37</v>
      </c>
      <c r="I825" s="22">
        <v>0.1</v>
      </c>
      <c r="J825" s="12">
        <f t="shared" si="25"/>
        <v>229.83</v>
      </c>
      <c r="K825" s="17" t="s">
        <v>48</v>
      </c>
    </row>
    <row r="826" spans="1:11" x14ac:dyDescent="0.25">
      <c r="A826" s="17" t="s">
        <v>1165</v>
      </c>
      <c r="B826" s="19">
        <v>46141</v>
      </c>
      <c r="C826" s="20">
        <f t="shared" si="24"/>
        <v>46113</v>
      </c>
      <c r="D826" s="17" t="s">
        <v>859</v>
      </c>
      <c r="E826" s="17" t="s">
        <v>18</v>
      </c>
      <c r="F826" s="17" t="s">
        <v>30</v>
      </c>
      <c r="G826" s="21">
        <v>1</v>
      </c>
      <c r="H826" s="12">
        <v>146.05000000000001</v>
      </c>
      <c r="I826" s="22">
        <v>0</v>
      </c>
      <c r="J826" s="12">
        <f t="shared" si="25"/>
        <v>146.05000000000001</v>
      </c>
      <c r="K826" s="17" t="s">
        <v>59</v>
      </c>
    </row>
    <row r="827" spans="1:11" x14ac:dyDescent="0.25">
      <c r="A827" s="17" t="s">
        <v>1166</v>
      </c>
      <c r="B827" s="19">
        <v>46141</v>
      </c>
      <c r="C827" s="20">
        <f t="shared" si="24"/>
        <v>46113</v>
      </c>
      <c r="D827" s="17" t="s">
        <v>918</v>
      </c>
      <c r="E827" s="17" t="s">
        <v>24</v>
      </c>
      <c r="F827" s="17" t="s">
        <v>30</v>
      </c>
      <c r="G827" s="21">
        <v>1</v>
      </c>
      <c r="H827" s="12">
        <v>36.03</v>
      </c>
      <c r="I827" s="22">
        <v>0.1</v>
      </c>
      <c r="J827" s="12">
        <f t="shared" si="25"/>
        <v>32.43</v>
      </c>
      <c r="K827" s="17" t="s">
        <v>59</v>
      </c>
    </row>
    <row r="828" spans="1:11" x14ac:dyDescent="0.25">
      <c r="A828" s="17" t="s">
        <v>1167</v>
      </c>
      <c r="B828" s="19">
        <v>46141</v>
      </c>
      <c r="C828" s="20">
        <f t="shared" si="24"/>
        <v>46113</v>
      </c>
      <c r="D828" s="17" t="s">
        <v>242</v>
      </c>
      <c r="E828" s="17" t="s">
        <v>18</v>
      </c>
      <c r="F828" s="17" t="s">
        <v>30</v>
      </c>
      <c r="G828" s="21">
        <v>2</v>
      </c>
      <c r="H828" s="12">
        <v>146.66</v>
      </c>
      <c r="I828" s="22">
        <v>0</v>
      </c>
      <c r="J828" s="12">
        <f t="shared" si="25"/>
        <v>293.32</v>
      </c>
      <c r="K828" s="17" t="s">
        <v>43</v>
      </c>
    </row>
    <row r="829" spans="1:11" x14ac:dyDescent="0.25">
      <c r="A829" s="17" t="s">
        <v>1168</v>
      </c>
      <c r="B829" s="19">
        <v>46141</v>
      </c>
      <c r="C829" s="20">
        <f t="shared" si="24"/>
        <v>46113</v>
      </c>
      <c r="D829" s="17" t="s">
        <v>834</v>
      </c>
      <c r="E829" s="17" t="s">
        <v>24</v>
      </c>
      <c r="F829" s="17" t="s">
        <v>30</v>
      </c>
      <c r="G829" s="21">
        <v>4</v>
      </c>
      <c r="H829" s="12">
        <v>35.450000000000003</v>
      </c>
      <c r="I829" s="22">
        <v>0.05</v>
      </c>
      <c r="J829" s="12">
        <f t="shared" si="25"/>
        <v>134.71</v>
      </c>
      <c r="K829" s="17" t="s">
        <v>43</v>
      </c>
    </row>
    <row r="830" spans="1:11" x14ac:dyDescent="0.25">
      <c r="A830" s="17" t="s">
        <v>1169</v>
      </c>
      <c r="B830" s="19">
        <v>46141</v>
      </c>
      <c r="C830" s="20">
        <f t="shared" si="24"/>
        <v>46113</v>
      </c>
      <c r="D830" s="17" t="s">
        <v>669</v>
      </c>
      <c r="E830" s="17" t="s">
        <v>19</v>
      </c>
      <c r="F830" s="17" t="s">
        <v>30</v>
      </c>
      <c r="G830" s="21">
        <v>4</v>
      </c>
      <c r="H830" s="12">
        <v>129.36000000000001</v>
      </c>
      <c r="I830" s="22">
        <v>0.05</v>
      </c>
      <c r="J830" s="12">
        <f t="shared" si="25"/>
        <v>491.57</v>
      </c>
      <c r="K830" s="17" t="s">
        <v>43</v>
      </c>
    </row>
    <row r="831" spans="1:11" x14ac:dyDescent="0.25">
      <c r="A831" s="17" t="s">
        <v>1170</v>
      </c>
      <c r="B831" s="19">
        <v>46141</v>
      </c>
      <c r="C831" s="20">
        <f t="shared" si="24"/>
        <v>46113</v>
      </c>
      <c r="D831" s="17" t="s">
        <v>465</v>
      </c>
      <c r="E831" s="17" t="s">
        <v>18</v>
      </c>
      <c r="F831" s="17" t="s">
        <v>30</v>
      </c>
      <c r="G831" s="21">
        <v>2</v>
      </c>
      <c r="H831" s="12">
        <v>149.30000000000001</v>
      </c>
      <c r="I831" s="22">
        <v>0.15</v>
      </c>
      <c r="J831" s="12">
        <f t="shared" si="25"/>
        <v>253.81</v>
      </c>
      <c r="K831" s="17" t="s">
        <v>43</v>
      </c>
    </row>
    <row r="832" spans="1:11" x14ac:dyDescent="0.25">
      <c r="A832" s="17" t="s">
        <v>1171</v>
      </c>
      <c r="B832" s="19">
        <v>46141</v>
      </c>
      <c r="C832" s="20">
        <f t="shared" si="24"/>
        <v>46113</v>
      </c>
      <c r="D832" s="17" t="s">
        <v>626</v>
      </c>
      <c r="E832" s="17" t="s">
        <v>17</v>
      </c>
      <c r="F832" s="17" t="s">
        <v>31</v>
      </c>
      <c r="G832" s="21">
        <v>2</v>
      </c>
      <c r="H832" s="12">
        <v>216.94</v>
      </c>
      <c r="I832" s="22">
        <v>0.1</v>
      </c>
      <c r="J832" s="12">
        <f t="shared" si="25"/>
        <v>390.49</v>
      </c>
      <c r="K832" s="17" t="s">
        <v>48</v>
      </c>
    </row>
    <row r="833" spans="1:11" x14ac:dyDescent="0.25">
      <c r="A833" s="17" t="s">
        <v>1172</v>
      </c>
      <c r="B833" s="19">
        <v>46141</v>
      </c>
      <c r="C833" s="20">
        <f t="shared" si="24"/>
        <v>46113</v>
      </c>
      <c r="D833" s="17" t="s">
        <v>522</v>
      </c>
      <c r="E833" s="17" t="s">
        <v>19</v>
      </c>
      <c r="F833" s="17" t="s">
        <v>31</v>
      </c>
      <c r="G833" s="21">
        <v>5</v>
      </c>
      <c r="H833" s="12">
        <v>128.1</v>
      </c>
      <c r="I833" s="22">
        <v>0.05</v>
      </c>
      <c r="J833" s="12">
        <f t="shared" si="25"/>
        <v>608.48</v>
      </c>
      <c r="K833" s="17" t="s">
        <v>48</v>
      </c>
    </row>
    <row r="834" spans="1:11" x14ac:dyDescent="0.25">
      <c r="A834" s="17" t="s">
        <v>1173</v>
      </c>
      <c r="B834" s="19">
        <v>46142</v>
      </c>
      <c r="C834" s="20">
        <f t="shared" ref="C834:C897" si="26">DATE(YEAR(B834),MONTH(B834),1)</f>
        <v>46113</v>
      </c>
      <c r="D834" s="17" t="s">
        <v>818</v>
      </c>
      <c r="E834" s="17" t="s">
        <v>23</v>
      </c>
      <c r="F834" s="17" t="s">
        <v>30</v>
      </c>
      <c r="G834" s="21">
        <v>2</v>
      </c>
      <c r="H834" s="12">
        <v>58.11</v>
      </c>
      <c r="I834" s="22">
        <v>0</v>
      </c>
      <c r="J834" s="12">
        <f t="shared" ref="J834:J897" si="27">ROUND(G834*H834*(1-I834),2)</f>
        <v>116.22</v>
      </c>
      <c r="K834" s="17" t="s">
        <v>59</v>
      </c>
    </row>
    <row r="835" spans="1:11" x14ac:dyDescent="0.25">
      <c r="A835" s="17" t="s">
        <v>1174</v>
      </c>
      <c r="B835" s="19">
        <v>46142</v>
      </c>
      <c r="C835" s="20">
        <f t="shared" si="26"/>
        <v>46113</v>
      </c>
      <c r="D835" s="17" t="s">
        <v>287</v>
      </c>
      <c r="E835" s="17" t="s">
        <v>19</v>
      </c>
      <c r="F835" s="17" t="s">
        <v>30</v>
      </c>
      <c r="G835" s="21">
        <v>1</v>
      </c>
      <c r="H835" s="12">
        <v>126.86</v>
      </c>
      <c r="I835" s="22">
        <v>0</v>
      </c>
      <c r="J835" s="12">
        <f t="shared" si="27"/>
        <v>126.86</v>
      </c>
      <c r="K835" s="17" t="s">
        <v>59</v>
      </c>
    </row>
    <row r="836" spans="1:11" x14ac:dyDescent="0.25">
      <c r="A836" s="17" t="s">
        <v>1175</v>
      </c>
      <c r="B836" s="19">
        <v>46142</v>
      </c>
      <c r="C836" s="20">
        <f t="shared" si="26"/>
        <v>46113</v>
      </c>
      <c r="D836" s="17" t="s">
        <v>71</v>
      </c>
      <c r="E836" s="17" t="s">
        <v>19</v>
      </c>
      <c r="F836" s="17" t="s">
        <v>30</v>
      </c>
      <c r="G836" s="21">
        <v>4</v>
      </c>
      <c r="H836" s="12">
        <v>131.62</v>
      </c>
      <c r="I836" s="22">
        <v>0</v>
      </c>
      <c r="J836" s="12">
        <f t="shared" si="27"/>
        <v>526.48</v>
      </c>
      <c r="K836" s="17" t="s">
        <v>59</v>
      </c>
    </row>
    <row r="837" spans="1:11" x14ac:dyDescent="0.25">
      <c r="A837" s="17" t="s">
        <v>1176</v>
      </c>
      <c r="B837" s="19">
        <v>46142</v>
      </c>
      <c r="C837" s="20">
        <f t="shared" si="26"/>
        <v>46113</v>
      </c>
      <c r="D837" s="17" t="s">
        <v>137</v>
      </c>
      <c r="E837" s="17" t="s">
        <v>16</v>
      </c>
      <c r="F837" s="17" t="s">
        <v>30</v>
      </c>
      <c r="G837" s="21">
        <v>1</v>
      </c>
      <c r="H837" s="12">
        <v>244.91</v>
      </c>
      <c r="I837" s="22">
        <v>0</v>
      </c>
      <c r="J837" s="12">
        <f t="shared" si="27"/>
        <v>244.91</v>
      </c>
      <c r="K837" s="17" t="s">
        <v>59</v>
      </c>
    </row>
    <row r="838" spans="1:11" x14ac:dyDescent="0.25">
      <c r="A838" s="17" t="s">
        <v>1177</v>
      </c>
      <c r="B838" s="19">
        <v>46142</v>
      </c>
      <c r="C838" s="20">
        <f t="shared" si="26"/>
        <v>46113</v>
      </c>
      <c r="D838" s="17" t="s">
        <v>137</v>
      </c>
      <c r="E838" s="17" t="s">
        <v>20</v>
      </c>
      <c r="F838" s="17" t="s">
        <v>30</v>
      </c>
      <c r="G838" s="21">
        <v>4</v>
      </c>
      <c r="H838" s="12">
        <v>89.44</v>
      </c>
      <c r="I838" s="22">
        <v>0</v>
      </c>
      <c r="J838" s="12">
        <f t="shared" si="27"/>
        <v>357.76</v>
      </c>
      <c r="K838" s="17" t="s">
        <v>43</v>
      </c>
    </row>
    <row r="839" spans="1:11" x14ac:dyDescent="0.25">
      <c r="A839" s="17" t="s">
        <v>1178</v>
      </c>
      <c r="B839" s="19">
        <v>46142</v>
      </c>
      <c r="C839" s="20">
        <f t="shared" si="26"/>
        <v>46113</v>
      </c>
      <c r="D839" s="17" t="s">
        <v>362</v>
      </c>
      <c r="E839" s="17" t="s">
        <v>17</v>
      </c>
      <c r="F839" s="17" t="s">
        <v>30</v>
      </c>
      <c r="G839" s="21">
        <v>2</v>
      </c>
      <c r="H839" s="12">
        <v>223.61</v>
      </c>
      <c r="I839" s="22">
        <v>0</v>
      </c>
      <c r="J839" s="12">
        <f t="shared" si="27"/>
        <v>447.22</v>
      </c>
      <c r="K839" s="17" t="s">
        <v>43</v>
      </c>
    </row>
    <row r="840" spans="1:11" x14ac:dyDescent="0.25">
      <c r="A840" s="17" t="s">
        <v>1179</v>
      </c>
      <c r="B840" s="19">
        <v>46142</v>
      </c>
      <c r="C840" s="20">
        <f t="shared" si="26"/>
        <v>46113</v>
      </c>
      <c r="D840" s="17" t="s">
        <v>80</v>
      </c>
      <c r="E840" s="17" t="s">
        <v>21</v>
      </c>
      <c r="F840" s="17" t="s">
        <v>31</v>
      </c>
      <c r="G840" s="21">
        <v>4</v>
      </c>
      <c r="H840" s="12">
        <v>78.819999999999993</v>
      </c>
      <c r="I840" s="22">
        <v>0.1</v>
      </c>
      <c r="J840" s="12">
        <f t="shared" si="27"/>
        <v>283.75</v>
      </c>
      <c r="K840" s="17" t="s">
        <v>48</v>
      </c>
    </row>
    <row r="841" spans="1:11" x14ac:dyDescent="0.25">
      <c r="A841" s="17" t="s">
        <v>1180</v>
      </c>
      <c r="B841" s="19">
        <v>46142</v>
      </c>
      <c r="C841" s="20">
        <f t="shared" si="26"/>
        <v>46113</v>
      </c>
      <c r="D841" s="17" t="s">
        <v>268</v>
      </c>
      <c r="E841" s="17" t="s">
        <v>20</v>
      </c>
      <c r="F841" s="17" t="s">
        <v>31</v>
      </c>
      <c r="G841" s="21">
        <v>5</v>
      </c>
      <c r="H841" s="12">
        <v>91.38</v>
      </c>
      <c r="I841" s="22">
        <v>0</v>
      </c>
      <c r="J841" s="12">
        <f t="shared" si="27"/>
        <v>456.9</v>
      </c>
      <c r="K841" s="17" t="s">
        <v>48</v>
      </c>
    </row>
    <row r="842" spans="1:11" x14ac:dyDescent="0.25">
      <c r="A842" s="17" t="s">
        <v>1181</v>
      </c>
      <c r="B842" s="19">
        <v>46142</v>
      </c>
      <c r="C842" s="20">
        <f t="shared" si="26"/>
        <v>46113</v>
      </c>
      <c r="D842" s="17" t="s">
        <v>78</v>
      </c>
      <c r="E842" s="17" t="s">
        <v>24</v>
      </c>
      <c r="F842" s="17" t="s">
        <v>31</v>
      </c>
      <c r="G842" s="21">
        <v>2</v>
      </c>
      <c r="H842" s="12">
        <v>35.700000000000003</v>
      </c>
      <c r="I842" s="22">
        <v>0</v>
      </c>
      <c r="J842" s="12">
        <f t="shared" si="27"/>
        <v>71.400000000000006</v>
      </c>
      <c r="K842" s="17" t="s">
        <v>48</v>
      </c>
    </row>
    <row r="843" spans="1:11" x14ac:dyDescent="0.25">
      <c r="A843" s="17" t="s">
        <v>1182</v>
      </c>
      <c r="B843" s="19">
        <v>46143</v>
      </c>
      <c r="C843" s="20">
        <f t="shared" si="26"/>
        <v>46143</v>
      </c>
      <c r="D843" s="17" t="s">
        <v>631</v>
      </c>
      <c r="E843" s="17" t="s">
        <v>20</v>
      </c>
      <c r="F843" s="17" t="s">
        <v>30</v>
      </c>
      <c r="G843" s="21">
        <v>2</v>
      </c>
      <c r="H843" s="12">
        <v>90.09</v>
      </c>
      <c r="I843" s="22">
        <v>0.15</v>
      </c>
      <c r="J843" s="12">
        <f t="shared" si="27"/>
        <v>153.15</v>
      </c>
      <c r="K843" s="17" t="s">
        <v>59</v>
      </c>
    </row>
    <row r="844" spans="1:11" x14ac:dyDescent="0.25">
      <c r="A844" s="17" t="s">
        <v>1183</v>
      </c>
      <c r="B844" s="19">
        <v>46143</v>
      </c>
      <c r="C844" s="20">
        <f t="shared" si="26"/>
        <v>46143</v>
      </c>
      <c r="D844" s="17" t="s">
        <v>192</v>
      </c>
      <c r="E844" s="17" t="s">
        <v>25</v>
      </c>
      <c r="F844" s="17" t="s">
        <v>30</v>
      </c>
      <c r="G844" s="21">
        <v>1</v>
      </c>
      <c r="H844" s="12">
        <v>29.86</v>
      </c>
      <c r="I844" s="22">
        <v>0</v>
      </c>
      <c r="J844" s="12">
        <f t="shared" si="27"/>
        <v>29.86</v>
      </c>
      <c r="K844" s="17" t="s">
        <v>59</v>
      </c>
    </row>
    <row r="845" spans="1:11" x14ac:dyDescent="0.25">
      <c r="A845" s="17" t="s">
        <v>1184</v>
      </c>
      <c r="B845" s="19">
        <v>46143</v>
      </c>
      <c r="C845" s="20">
        <f t="shared" si="26"/>
        <v>46143</v>
      </c>
      <c r="D845" s="17" t="s">
        <v>709</v>
      </c>
      <c r="E845" s="17" t="s">
        <v>21</v>
      </c>
      <c r="F845" s="17" t="s">
        <v>30</v>
      </c>
      <c r="G845" s="21">
        <v>1</v>
      </c>
      <c r="H845" s="12">
        <v>78.349999999999994</v>
      </c>
      <c r="I845" s="22">
        <v>0.15</v>
      </c>
      <c r="J845" s="12">
        <f t="shared" si="27"/>
        <v>66.599999999999994</v>
      </c>
      <c r="K845" s="17" t="s">
        <v>59</v>
      </c>
    </row>
    <row r="846" spans="1:11" x14ac:dyDescent="0.25">
      <c r="A846" s="17" t="s">
        <v>1185</v>
      </c>
      <c r="B846" s="19">
        <v>46143</v>
      </c>
      <c r="C846" s="20">
        <f t="shared" si="26"/>
        <v>46143</v>
      </c>
      <c r="D846" s="17" t="s">
        <v>1186</v>
      </c>
      <c r="E846" s="17" t="s">
        <v>22</v>
      </c>
      <c r="F846" s="17" t="s">
        <v>30</v>
      </c>
      <c r="G846" s="21">
        <v>2</v>
      </c>
      <c r="H846" s="12">
        <v>100.18</v>
      </c>
      <c r="I846" s="22">
        <v>0</v>
      </c>
      <c r="J846" s="12">
        <f t="shared" si="27"/>
        <v>200.36</v>
      </c>
      <c r="K846" s="17" t="s">
        <v>43</v>
      </c>
    </row>
    <row r="847" spans="1:11" x14ac:dyDescent="0.25">
      <c r="A847" s="17" t="s">
        <v>1187</v>
      </c>
      <c r="B847" s="19">
        <v>46143</v>
      </c>
      <c r="C847" s="20">
        <f t="shared" si="26"/>
        <v>46143</v>
      </c>
      <c r="D847" s="17" t="s">
        <v>539</v>
      </c>
      <c r="E847" s="17" t="s">
        <v>21</v>
      </c>
      <c r="F847" s="17" t="s">
        <v>30</v>
      </c>
      <c r="G847" s="21">
        <v>4</v>
      </c>
      <c r="H847" s="12">
        <v>77.92</v>
      </c>
      <c r="I847" s="22">
        <v>0</v>
      </c>
      <c r="J847" s="12">
        <f t="shared" si="27"/>
        <v>311.68</v>
      </c>
      <c r="K847" s="17" t="s">
        <v>43</v>
      </c>
    </row>
    <row r="848" spans="1:11" x14ac:dyDescent="0.25">
      <c r="A848" s="17" t="s">
        <v>1188</v>
      </c>
      <c r="B848" s="19">
        <v>46143</v>
      </c>
      <c r="C848" s="20">
        <f t="shared" si="26"/>
        <v>46143</v>
      </c>
      <c r="D848" s="17" t="s">
        <v>362</v>
      </c>
      <c r="E848" s="17" t="s">
        <v>27</v>
      </c>
      <c r="F848" s="17" t="s">
        <v>30</v>
      </c>
      <c r="G848" s="21">
        <v>2</v>
      </c>
      <c r="H848" s="12">
        <v>12.84</v>
      </c>
      <c r="I848" s="22">
        <v>0</v>
      </c>
      <c r="J848" s="12">
        <f t="shared" si="27"/>
        <v>25.68</v>
      </c>
      <c r="K848" s="17" t="s">
        <v>43</v>
      </c>
    </row>
    <row r="849" spans="1:11" x14ac:dyDescent="0.25">
      <c r="A849" s="17" t="s">
        <v>1189</v>
      </c>
      <c r="B849" s="19">
        <v>46143</v>
      </c>
      <c r="C849" s="20">
        <f t="shared" si="26"/>
        <v>46143</v>
      </c>
      <c r="D849" s="17" t="s">
        <v>242</v>
      </c>
      <c r="E849" s="17" t="s">
        <v>18</v>
      </c>
      <c r="F849" s="17" t="s">
        <v>30</v>
      </c>
      <c r="G849" s="21">
        <v>1</v>
      </c>
      <c r="H849" s="12">
        <v>144.68</v>
      </c>
      <c r="I849" s="22">
        <v>0</v>
      </c>
      <c r="J849" s="12">
        <f t="shared" si="27"/>
        <v>144.68</v>
      </c>
      <c r="K849" s="17" t="s">
        <v>43</v>
      </c>
    </row>
    <row r="850" spans="1:11" x14ac:dyDescent="0.25">
      <c r="A850" s="17" t="s">
        <v>1190</v>
      </c>
      <c r="B850" s="19">
        <v>46143</v>
      </c>
      <c r="C850" s="20">
        <f t="shared" si="26"/>
        <v>46143</v>
      </c>
      <c r="D850" s="17" t="s">
        <v>570</v>
      </c>
      <c r="E850" s="17" t="s">
        <v>20</v>
      </c>
      <c r="F850" s="17" t="s">
        <v>31</v>
      </c>
      <c r="G850" s="21">
        <v>2</v>
      </c>
      <c r="H850" s="12">
        <v>89.34</v>
      </c>
      <c r="I850" s="22">
        <v>0</v>
      </c>
      <c r="J850" s="12">
        <f t="shared" si="27"/>
        <v>178.68</v>
      </c>
      <c r="K850" s="17" t="s">
        <v>48</v>
      </c>
    </row>
    <row r="851" spans="1:11" x14ac:dyDescent="0.25">
      <c r="A851" s="17" t="s">
        <v>1191</v>
      </c>
      <c r="B851" s="19">
        <v>46143</v>
      </c>
      <c r="C851" s="20">
        <f t="shared" si="26"/>
        <v>46143</v>
      </c>
      <c r="D851" s="17" t="s">
        <v>605</v>
      </c>
      <c r="E851" s="17" t="s">
        <v>18</v>
      </c>
      <c r="F851" s="17" t="s">
        <v>31</v>
      </c>
      <c r="G851" s="21">
        <v>4</v>
      </c>
      <c r="H851" s="12">
        <v>151.65</v>
      </c>
      <c r="I851" s="22">
        <v>0</v>
      </c>
      <c r="J851" s="12">
        <f t="shared" si="27"/>
        <v>606.6</v>
      </c>
      <c r="K851" s="17" t="s">
        <v>48</v>
      </c>
    </row>
    <row r="852" spans="1:11" x14ac:dyDescent="0.25">
      <c r="A852" s="17" t="s">
        <v>1192</v>
      </c>
      <c r="B852" s="19">
        <v>46143</v>
      </c>
      <c r="C852" s="20">
        <f t="shared" si="26"/>
        <v>46143</v>
      </c>
      <c r="D852" s="17" t="s">
        <v>304</v>
      </c>
      <c r="E852" s="17" t="s">
        <v>21</v>
      </c>
      <c r="F852" s="17" t="s">
        <v>31</v>
      </c>
      <c r="G852" s="21">
        <v>4</v>
      </c>
      <c r="H852" s="12">
        <v>78.98</v>
      </c>
      <c r="I852" s="22">
        <v>0.05</v>
      </c>
      <c r="J852" s="12">
        <f t="shared" si="27"/>
        <v>300.12</v>
      </c>
      <c r="K852" s="17" t="s">
        <v>48</v>
      </c>
    </row>
    <row r="853" spans="1:11" x14ac:dyDescent="0.25">
      <c r="A853" s="17" t="s">
        <v>1193</v>
      </c>
      <c r="B853" s="19">
        <v>46144</v>
      </c>
      <c r="C853" s="20">
        <f t="shared" si="26"/>
        <v>46143</v>
      </c>
      <c r="D853" s="17" t="s">
        <v>465</v>
      </c>
      <c r="E853" s="17" t="s">
        <v>24</v>
      </c>
      <c r="F853" s="17" t="s">
        <v>30</v>
      </c>
      <c r="G853" s="21">
        <v>2</v>
      </c>
      <c r="H853" s="12">
        <v>35.299999999999997</v>
      </c>
      <c r="I853" s="22">
        <v>0.15</v>
      </c>
      <c r="J853" s="12">
        <f t="shared" si="27"/>
        <v>60.01</v>
      </c>
      <c r="K853" s="17" t="s">
        <v>59</v>
      </c>
    </row>
    <row r="854" spans="1:11" x14ac:dyDescent="0.25">
      <c r="A854" s="17" t="s">
        <v>1194</v>
      </c>
      <c r="B854" s="19">
        <v>46144</v>
      </c>
      <c r="C854" s="20">
        <f t="shared" si="26"/>
        <v>46143</v>
      </c>
      <c r="D854" s="17" t="s">
        <v>372</v>
      </c>
      <c r="E854" s="17" t="s">
        <v>17</v>
      </c>
      <c r="F854" s="17" t="s">
        <v>30</v>
      </c>
      <c r="G854" s="21">
        <v>2</v>
      </c>
      <c r="H854" s="12">
        <v>212.81</v>
      </c>
      <c r="I854" s="22">
        <v>0.05</v>
      </c>
      <c r="J854" s="12">
        <f t="shared" si="27"/>
        <v>404.34</v>
      </c>
      <c r="K854" s="17" t="s">
        <v>59</v>
      </c>
    </row>
    <row r="855" spans="1:11" x14ac:dyDescent="0.25">
      <c r="A855" s="17" t="s">
        <v>1195</v>
      </c>
      <c r="B855" s="19">
        <v>46144</v>
      </c>
      <c r="C855" s="20">
        <f t="shared" si="26"/>
        <v>46143</v>
      </c>
      <c r="D855" s="17" t="s">
        <v>426</v>
      </c>
      <c r="E855" s="17" t="s">
        <v>20</v>
      </c>
      <c r="F855" s="17" t="s">
        <v>30</v>
      </c>
      <c r="G855" s="21">
        <v>1</v>
      </c>
      <c r="H855" s="12">
        <v>87.02</v>
      </c>
      <c r="I855" s="22">
        <v>0.05</v>
      </c>
      <c r="J855" s="12">
        <f t="shared" si="27"/>
        <v>82.67</v>
      </c>
      <c r="K855" s="17" t="s">
        <v>59</v>
      </c>
    </row>
    <row r="856" spans="1:11" x14ac:dyDescent="0.25">
      <c r="A856" s="17" t="s">
        <v>1196</v>
      </c>
      <c r="B856" s="19">
        <v>46144</v>
      </c>
      <c r="C856" s="20">
        <f t="shared" si="26"/>
        <v>46143</v>
      </c>
      <c r="D856" s="17" t="s">
        <v>1148</v>
      </c>
      <c r="E856" s="17" t="s">
        <v>19</v>
      </c>
      <c r="F856" s="17" t="s">
        <v>30</v>
      </c>
      <c r="G856" s="21">
        <v>4</v>
      </c>
      <c r="H856" s="12">
        <v>125.37</v>
      </c>
      <c r="I856" s="22">
        <v>0.1</v>
      </c>
      <c r="J856" s="12">
        <f t="shared" si="27"/>
        <v>451.33</v>
      </c>
      <c r="K856" s="17" t="s">
        <v>59</v>
      </c>
    </row>
    <row r="857" spans="1:11" x14ac:dyDescent="0.25">
      <c r="A857" s="17" t="s">
        <v>1197</v>
      </c>
      <c r="B857" s="19">
        <v>46144</v>
      </c>
      <c r="C857" s="20">
        <f t="shared" si="26"/>
        <v>46143</v>
      </c>
      <c r="D857" s="17" t="s">
        <v>499</v>
      </c>
      <c r="E857" s="17" t="s">
        <v>20</v>
      </c>
      <c r="F857" s="17" t="s">
        <v>30</v>
      </c>
      <c r="G857" s="21">
        <v>1</v>
      </c>
      <c r="H857" s="12">
        <v>88.92</v>
      </c>
      <c r="I857" s="22">
        <v>0</v>
      </c>
      <c r="J857" s="12">
        <f t="shared" si="27"/>
        <v>88.92</v>
      </c>
      <c r="K857" s="17" t="s">
        <v>59</v>
      </c>
    </row>
    <row r="858" spans="1:11" x14ac:dyDescent="0.25">
      <c r="A858" s="17" t="s">
        <v>1198</v>
      </c>
      <c r="B858" s="19">
        <v>46144</v>
      </c>
      <c r="C858" s="20">
        <f t="shared" si="26"/>
        <v>46143</v>
      </c>
      <c r="D858" s="17" t="s">
        <v>42</v>
      </c>
      <c r="E858" s="17" t="s">
        <v>17</v>
      </c>
      <c r="F858" s="17" t="s">
        <v>30</v>
      </c>
      <c r="G858" s="21">
        <v>3</v>
      </c>
      <c r="H858" s="12">
        <v>224.13</v>
      </c>
      <c r="I858" s="22">
        <v>0</v>
      </c>
      <c r="J858" s="12">
        <f t="shared" si="27"/>
        <v>672.39</v>
      </c>
      <c r="K858" s="17" t="s">
        <v>43</v>
      </c>
    </row>
    <row r="859" spans="1:11" x14ac:dyDescent="0.25">
      <c r="A859" s="17" t="s">
        <v>1199</v>
      </c>
      <c r="B859" s="19">
        <v>46144</v>
      </c>
      <c r="C859" s="20">
        <f t="shared" si="26"/>
        <v>46143</v>
      </c>
      <c r="D859" s="17" t="s">
        <v>357</v>
      </c>
      <c r="E859" s="17" t="s">
        <v>21</v>
      </c>
      <c r="F859" s="17" t="s">
        <v>30</v>
      </c>
      <c r="G859" s="21">
        <v>1</v>
      </c>
      <c r="H859" s="12">
        <v>79.87</v>
      </c>
      <c r="I859" s="22">
        <v>0</v>
      </c>
      <c r="J859" s="12">
        <f t="shared" si="27"/>
        <v>79.87</v>
      </c>
      <c r="K859" s="17" t="s">
        <v>43</v>
      </c>
    </row>
    <row r="860" spans="1:11" x14ac:dyDescent="0.25">
      <c r="A860" s="17" t="s">
        <v>1200</v>
      </c>
      <c r="B860" s="19">
        <v>46144</v>
      </c>
      <c r="C860" s="20">
        <f t="shared" si="26"/>
        <v>46143</v>
      </c>
      <c r="D860" s="17" t="s">
        <v>214</v>
      </c>
      <c r="E860" s="17" t="s">
        <v>17</v>
      </c>
      <c r="F860" s="17" t="s">
        <v>31</v>
      </c>
      <c r="G860" s="21">
        <v>2</v>
      </c>
      <c r="H860" s="12">
        <v>224.42</v>
      </c>
      <c r="I860" s="22">
        <v>0</v>
      </c>
      <c r="J860" s="12">
        <f t="shared" si="27"/>
        <v>448.84</v>
      </c>
      <c r="K860" s="17" t="s">
        <v>48</v>
      </c>
    </row>
    <row r="861" spans="1:11" x14ac:dyDescent="0.25">
      <c r="A861" s="17" t="s">
        <v>1201</v>
      </c>
      <c r="B861" s="19">
        <v>46144</v>
      </c>
      <c r="C861" s="20">
        <f t="shared" si="26"/>
        <v>46143</v>
      </c>
      <c r="D861" s="17" t="s">
        <v>125</v>
      </c>
      <c r="E861" s="17" t="s">
        <v>23</v>
      </c>
      <c r="F861" s="17" t="s">
        <v>31</v>
      </c>
      <c r="G861" s="21">
        <v>1</v>
      </c>
      <c r="H861" s="12">
        <v>58.83</v>
      </c>
      <c r="I861" s="22">
        <v>0.1</v>
      </c>
      <c r="J861" s="12">
        <f t="shared" si="27"/>
        <v>52.95</v>
      </c>
      <c r="K861" s="17" t="s">
        <v>48</v>
      </c>
    </row>
    <row r="862" spans="1:11" x14ac:dyDescent="0.25">
      <c r="A862" s="17" t="s">
        <v>1202</v>
      </c>
      <c r="B862" s="19">
        <v>46144</v>
      </c>
      <c r="C862" s="20">
        <f t="shared" si="26"/>
        <v>46143</v>
      </c>
      <c r="D862" s="17" t="s">
        <v>206</v>
      </c>
      <c r="E862" s="17" t="s">
        <v>21</v>
      </c>
      <c r="F862" s="17" t="s">
        <v>31</v>
      </c>
      <c r="G862" s="21">
        <v>3</v>
      </c>
      <c r="H862" s="12">
        <v>81.290000000000006</v>
      </c>
      <c r="I862" s="22">
        <v>0</v>
      </c>
      <c r="J862" s="12">
        <f t="shared" si="27"/>
        <v>243.87</v>
      </c>
      <c r="K862" s="17" t="s">
        <v>48</v>
      </c>
    </row>
    <row r="863" spans="1:11" x14ac:dyDescent="0.25">
      <c r="A863" s="17" t="s">
        <v>1203</v>
      </c>
      <c r="B863" s="19">
        <v>46144</v>
      </c>
      <c r="C863" s="20">
        <f t="shared" si="26"/>
        <v>46143</v>
      </c>
      <c r="D863" s="17" t="s">
        <v>629</v>
      </c>
      <c r="E863" s="17" t="s">
        <v>25</v>
      </c>
      <c r="F863" s="17" t="s">
        <v>31</v>
      </c>
      <c r="G863" s="21">
        <v>1</v>
      </c>
      <c r="H863" s="12">
        <v>29.48</v>
      </c>
      <c r="I863" s="22">
        <v>0.15</v>
      </c>
      <c r="J863" s="12">
        <f t="shared" si="27"/>
        <v>25.06</v>
      </c>
      <c r="K863" s="17" t="s">
        <v>48</v>
      </c>
    </row>
    <row r="864" spans="1:11" x14ac:dyDescent="0.25">
      <c r="A864" s="17" t="s">
        <v>1204</v>
      </c>
      <c r="B864" s="19">
        <v>46145</v>
      </c>
      <c r="C864" s="20">
        <f t="shared" si="26"/>
        <v>46143</v>
      </c>
      <c r="D864" s="17" t="s">
        <v>742</v>
      </c>
      <c r="E864" s="17" t="s">
        <v>21</v>
      </c>
      <c r="F864" s="17" t="s">
        <v>30</v>
      </c>
      <c r="G864" s="21">
        <v>1</v>
      </c>
      <c r="H864" s="12">
        <v>77.31</v>
      </c>
      <c r="I864" s="22">
        <v>0.15</v>
      </c>
      <c r="J864" s="12">
        <f t="shared" si="27"/>
        <v>65.709999999999994</v>
      </c>
      <c r="K864" s="17" t="s">
        <v>59</v>
      </c>
    </row>
    <row r="865" spans="1:11" x14ac:dyDescent="0.25">
      <c r="A865" s="17" t="s">
        <v>1205</v>
      </c>
      <c r="B865" s="19">
        <v>46145</v>
      </c>
      <c r="C865" s="20">
        <f t="shared" si="26"/>
        <v>46143</v>
      </c>
      <c r="D865" s="17" t="s">
        <v>926</v>
      </c>
      <c r="E865" s="17" t="s">
        <v>17</v>
      </c>
      <c r="F865" s="17" t="s">
        <v>30</v>
      </c>
      <c r="G865" s="21">
        <v>2</v>
      </c>
      <c r="H865" s="12">
        <v>216.53</v>
      </c>
      <c r="I865" s="22">
        <v>0</v>
      </c>
      <c r="J865" s="12">
        <f t="shared" si="27"/>
        <v>433.06</v>
      </c>
      <c r="K865" s="17" t="s">
        <v>43</v>
      </c>
    </row>
    <row r="866" spans="1:11" x14ac:dyDescent="0.25">
      <c r="A866" s="17" t="s">
        <v>1206</v>
      </c>
      <c r="B866" s="19">
        <v>46145</v>
      </c>
      <c r="C866" s="20">
        <f t="shared" si="26"/>
        <v>46143</v>
      </c>
      <c r="D866" s="17" t="s">
        <v>460</v>
      </c>
      <c r="E866" s="17" t="s">
        <v>22</v>
      </c>
      <c r="F866" s="17" t="s">
        <v>30</v>
      </c>
      <c r="G866" s="21">
        <v>2</v>
      </c>
      <c r="H866" s="12">
        <v>99.21</v>
      </c>
      <c r="I866" s="22">
        <v>0.15</v>
      </c>
      <c r="J866" s="12">
        <f t="shared" si="27"/>
        <v>168.66</v>
      </c>
      <c r="K866" s="17" t="s">
        <v>43</v>
      </c>
    </row>
    <row r="867" spans="1:11" x14ac:dyDescent="0.25">
      <c r="A867" s="17" t="s">
        <v>1207</v>
      </c>
      <c r="B867" s="19">
        <v>46145</v>
      </c>
      <c r="C867" s="20">
        <f t="shared" si="26"/>
        <v>46143</v>
      </c>
      <c r="D867" s="17" t="s">
        <v>199</v>
      </c>
      <c r="E867" s="17" t="s">
        <v>17</v>
      </c>
      <c r="F867" s="17" t="s">
        <v>31</v>
      </c>
      <c r="G867" s="21">
        <v>1</v>
      </c>
      <c r="H867" s="12">
        <v>213.85</v>
      </c>
      <c r="I867" s="22">
        <v>0</v>
      </c>
      <c r="J867" s="12">
        <f t="shared" si="27"/>
        <v>213.85</v>
      </c>
      <c r="K867" s="17" t="s">
        <v>48</v>
      </c>
    </row>
    <row r="868" spans="1:11" x14ac:dyDescent="0.25">
      <c r="A868" s="17" t="s">
        <v>1208</v>
      </c>
      <c r="B868" s="19">
        <v>46146</v>
      </c>
      <c r="C868" s="20">
        <f t="shared" si="26"/>
        <v>46143</v>
      </c>
      <c r="D868" s="17" t="s">
        <v>255</v>
      </c>
      <c r="E868" s="17" t="s">
        <v>19</v>
      </c>
      <c r="F868" s="17" t="s">
        <v>30</v>
      </c>
      <c r="G868" s="21">
        <v>1</v>
      </c>
      <c r="H868" s="12">
        <v>131.29</v>
      </c>
      <c r="I868" s="22">
        <v>0.15</v>
      </c>
      <c r="J868" s="12">
        <f t="shared" si="27"/>
        <v>111.6</v>
      </c>
      <c r="K868" s="17" t="s">
        <v>59</v>
      </c>
    </row>
    <row r="869" spans="1:11" x14ac:dyDescent="0.25">
      <c r="A869" s="17" t="s">
        <v>1209</v>
      </c>
      <c r="B869" s="19">
        <v>46146</v>
      </c>
      <c r="C869" s="20">
        <f t="shared" si="26"/>
        <v>46143</v>
      </c>
      <c r="D869" s="17" t="s">
        <v>231</v>
      </c>
      <c r="E869" s="17" t="s">
        <v>19</v>
      </c>
      <c r="F869" s="17" t="s">
        <v>30</v>
      </c>
      <c r="G869" s="21">
        <v>1</v>
      </c>
      <c r="H869" s="12">
        <v>126.78</v>
      </c>
      <c r="I869" s="22">
        <v>0.05</v>
      </c>
      <c r="J869" s="12">
        <f t="shared" si="27"/>
        <v>120.44</v>
      </c>
      <c r="K869" s="17" t="s">
        <v>59</v>
      </c>
    </row>
    <row r="870" spans="1:11" x14ac:dyDescent="0.25">
      <c r="A870" s="17" t="s">
        <v>1210</v>
      </c>
      <c r="B870" s="19">
        <v>46146</v>
      </c>
      <c r="C870" s="20">
        <f t="shared" si="26"/>
        <v>46143</v>
      </c>
      <c r="D870" s="17" t="s">
        <v>1008</v>
      </c>
      <c r="E870" s="17" t="s">
        <v>21</v>
      </c>
      <c r="F870" s="17" t="s">
        <v>30</v>
      </c>
      <c r="G870" s="21">
        <v>4</v>
      </c>
      <c r="H870" s="12">
        <v>80.92</v>
      </c>
      <c r="I870" s="22">
        <v>0.1</v>
      </c>
      <c r="J870" s="12">
        <f t="shared" si="27"/>
        <v>291.31</v>
      </c>
      <c r="K870" s="17" t="s">
        <v>43</v>
      </c>
    </row>
    <row r="871" spans="1:11" x14ac:dyDescent="0.25">
      <c r="A871" s="17" t="s">
        <v>1211</v>
      </c>
      <c r="B871" s="19">
        <v>46146</v>
      </c>
      <c r="C871" s="20">
        <f t="shared" si="26"/>
        <v>46143</v>
      </c>
      <c r="D871" s="17" t="s">
        <v>788</v>
      </c>
      <c r="E871" s="17" t="s">
        <v>18</v>
      </c>
      <c r="F871" s="17" t="s">
        <v>30</v>
      </c>
      <c r="G871" s="21">
        <v>1</v>
      </c>
      <c r="H871" s="12">
        <v>151.22</v>
      </c>
      <c r="I871" s="22">
        <v>0</v>
      </c>
      <c r="J871" s="12">
        <f t="shared" si="27"/>
        <v>151.22</v>
      </c>
      <c r="K871" s="17" t="s">
        <v>43</v>
      </c>
    </row>
    <row r="872" spans="1:11" x14ac:dyDescent="0.25">
      <c r="A872" s="17" t="s">
        <v>1212</v>
      </c>
      <c r="B872" s="19">
        <v>46146</v>
      </c>
      <c r="C872" s="20">
        <f t="shared" si="26"/>
        <v>46143</v>
      </c>
      <c r="D872" s="17" t="s">
        <v>1213</v>
      </c>
      <c r="E872" s="17" t="s">
        <v>21</v>
      </c>
      <c r="F872" s="17" t="s">
        <v>30</v>
      </c>
      <c r="G872" s="21">
        <v>4</v>
      </c>
      <c r="H872" s="12">
        <v>76.69</v>
      </c>
      <c r="I872" s="22">
        <v>0</v>
      </c>
      <c r="J872" s="12">
        <f t="shared" si="27"/>
        <v>306.76</v>
      </c>
      <c r="K872" s="17" t="s">
        <v>43</v>
      </c>
    </row>
    <row r="873" spans="1:11" x14ac:dyDescent="0.25">
      <c r="A873" s="17" t="s">
        <v>1214</v>
      </c>
      <c r="B873" s="19">
        <v>46146</v>
      </c>
      <c r="C873" s="20">
        <f t="shared" si="26"/>
        <v>46143</v>
      </c>
      <c r="D873" s="17" t="s">
        <v>767</v>
      </c>
      <c r="E873" s="17" t="s">
        <v>22</v>
      </c>
      <c r="F873" s="17" t="s">
        <v>30</v>
      </c>
      <c r="G873" s="21">
        <v>1</v>
      </c>
      <c r="H873" s="12">
        <v>100.11</v>
      </c>
      <c r="I873" s="22">
        <v>0</v>
      </c>
      <c r="J873" s="12">
        <f t="shared" si="27"/>
        <v>100.11</v>
      </c>
      <c r="K873" s="17" t="s">
        <v>43</v>
      </c>
    </row>
    <row r="874" spans="1:11" x14ac:dyDescent="0.25">
      <c r="A874" s="17" t="s">
        <v>1215</v>
      </c>
      <c r="B874" s="19">
        <v>46146</v>
      </c>
      <c r="C874" s="20">
        <f t="shared" si="26"/>
        <v>46143</v>
      </c>
      <c r="D874" s="17" t="s">
        <v>977</v>
      </c>
      <c r="E874" s="17" t="s">
        <v>20</v>
      </c>
      <c r="F874" s="17" t="s">
        <v>31</v>
      </c>
      <c r="G874" s="21">
        <v>2</v>
      </c>
      <c r="H874" s="12">
        <v>87.98</v>
      </c>
      <c r="I874" s="22">
        <v>0.15</v>
      </c>
      <c r="J874" s="12">
        <f t="shared" si="27"/>
        <v>149.57</v>
      </c>
      <c r="K874" s="17" t="s">
        <v>48</v>
      </c>
    </row>
    <row r="875" spans="1:11" x14ac:dyDescent="0.25">
      <c r="A875" s="17" t="s">
        <v>1216</v>
      </c>
      <c r="B875" s="19">
        <v>46146</v>
      </c>
      <c r="C875" s="20">
        <f t="shared" si="26"/>
        <v>46143</v>
      </c>
      <c r="D875" s="17" t="s">
        <v>1217</v>
      </c>
      <c r="E875" s="17" t="s">
        <v>19</v>
      </c>
      <c r="F875" s="17" t="s">
        <v>31</v>
      </c>
      <c r="G875" s="21">
        <v>5</v>
      </c>
      <c r="H875" s="12">
        <v>128.05000000000001</v>
      </c>
      <c r="I875" s="22">
        <v>0.05</v>
      </c>
      <c r="J875" s="12">
        <f t="shared" si="27"/>
        <v>608.24</v>
      </c>
      <c r="K875" s="17" t="s">
        <v>48</v>
      </c>
    </row>
    <row r="876" spans="1:11" x14ac:dyDescent="0.25">
      <c r="A876" s="17" t="s">
        <v>1218</v>
      </c>
      <c r="B876" s="19">
        <v>46146</v>
      </c>
      <c r="C876" s="20">
        <f t="shared" si="26"/>
        <v>46143</v>
      </c>
      <c r="D876" s="17" t="s">
        <v>78</v>
      </c>
      <c r="E876" s="17" t="s">
        <v>27</v>
      </c>
      <c r="F876" s="17" t="s">
        <v>31</v>
      </c>
      <c r="G876" s="21">
        <v>1</v>
      </c>
      <c r="H876" s="12">
        <v>12.92</v>
      </c>
      <c r="I876" s="22">
        <v>0</v>
      </c>
      <c r="J876" s="12">
        <f t="shared" si="27"/>
        <v>12.92</v>
      </c>
      <c r="K876" s="17" t="s">
        <v>48</v>
      </c>
    </row>
    <row r="877" spans="1:11" x14ac:dyDescent="0.25">
      <c r="A877" s="17" t="s">
        <v>1219</v>
      </c>
      <c r="B877" s="19">
        <v>46147</v>
      </c>
      <c r="C877" s="20">
        <f t="shared" si="26"/>
        <v>46143</v>
      </c>
      <c r="D877" s="17" t="s">
        <v>1220</v>
      </c>
      <c r="E877" s="17" t="s">
        <v>21</v>
      </c>
      <c r="F877" s="17" t="s">
        <v>30</v>
      </c>
      <c r="G877" s="21">
        <v>1</v>
      </c>
      <c r="H877" s="12">
        <v>76.650000000000006</v>
      </c>
      <c r="I877" s="22">
        <v>0.05</v>
      </c>
      <c r="J877" s="12">
        <f t="shared" si="27"/>
        <v>72.819999999999993</v>
      </c>
      <c r="K877" s="17" t="s">
        <v>59</v>
      </c>
    </row>
    <row r="878" spans="1:11" x14ac:dyDescent="0.25">
      <c r="A878" s="17" t="s">
        <v>1221</v>
      </c>
      <c r="B878" s="19">
        <v>46147</v>
      </c>
      <c r="C878" s="20">
        <f t="shared" si="26"/>
        <v>46143</v>
      </c>
      <c r="D878" s="17" t="s">
        <v>694</v>
      </c>
      <c r="E878" s="17" t="s">
        <v>20</v>
      </c>
      <c r="F878" s="17" t="s">
        <v>30</v>
      </c>
      <c r="G878" s="21">
        <v>3</v>
      </c>
      <c r="H878" s="12">
        <v>91.4</v>
      </c>
      <c r="I878" s="22">
        <v>0.15</v>
      </c>
      <c r="J878" s="12">
        <f t="shared" si="27"/>
        <v>233.07</v>
      </c>
      <c r="K878" s="17" t="s">
        <v>59</v>
      </c>
    </row>
    <row r="879" spans="1:11" x14ac:dyDescent="0.25">
      <c r="A879" s="17" t="s">
        <v>1222</v>
      </c>
      <c r="B879" s="19">
        <v>46147</v>
      </c>
      <c r="C879" s="20">
        <f t="shared" si="26"/>
        <v>46143</v>
      </c>
      <c r="D879" s="17" t="s">
        <v>983</v>
      </c>
      <c r="E879" s="17" t="s">
        <v>19</v>
      </c>
      <c r="F879" s="17" t="s">
        <v>30</v>
      </c>
      <c r="G879" s="21">
        <v>2</v>
      </c>
      <c r="H879" s="12">
        <v>127.53</v>
      </c>
      <c r="I879" s="22">
        <v>0</v>
      </c>
      <c r="J879" s="12">
        <f t="shared" si="27"/>
        <v>255.06</v>
      </c>
      <c r="K879" s="17" t="s">
        <v>59</v>
      </c>
    </row>
    <row r="880" spans="1:11" x14ac:dyDescent="0.25">
      <c r="A880" s="17" t="s">
        <v>1223</v>
      </c>
      <c r="B880" s="19">
        <v>46147</v>
      </c>
      <c r="C880" s="20">
        <f t="shared" si="26"/>
        <v>46143</v>
      </c>
      <c r="D880" s="17" t="s">
        <v>251</v>
      </c>
      <c r="E880" s="17" t="s">
        <v>22</v>
      </c>
      <c r="F880" s="17" t="s">
        <v>30</v>
      </c>
      <c r="G880" s="21">
        <v>2</v>
      </c>
      <c r="H880" s="12">
        <v>98.56</v>
      </c>
      <c r="I880" s="22">
        <v>0.05</v>
      </c>
      <c r="J880" s="12">
        <f t="shared" si="27"/>
        <v>187.26</v>
      </c>
      <c r="K880" s="17" t="s">
        <v>59</v>
      </c>
    </row>
    <row r="881" spans="1:11" x14ac:dyDescent="0.25">
      <c r="A881" s="17" t="s">
        <v>1224</v>
      </c>
      <c r="B881" s="19">
        <v>46147</v>
      </c>
      <c r="C881" s="20">
        <f t="shared" si="26"/>
        <v>46143</v>
      </c>
      <c r="D881" s="17" t="s">
        <v>190</v>
      </c>
      <c r="E881" s="17" t="s">
        <v>21</v>
      </c>
      <c r="F881" s="17" t="s">
        <v>30</v>
      </c>
      <c r="G881" s="21">
        <v>1</v>
      </c>
      <c r="H881" s="12">
        <v>79.98</v>
      </c>
      <c r="I881" s="22">
        <v>0</v>
      </c>
      <c r="J881" s="12">
        <f t="shared" si="27"/>
        <v>79.98</v>
      </c>
      <c r="K881" s="17" t="s">
        <v>59</v>
      </c>
    </row>
    <row r="882" spans="1:11" x14ac:dyDescent="0.25">
      <c r="A882" s="17" t="s">
        <v>1225</v>
      </c>
      <c r="B882" s="19">
        <v>46147</v>
      </c>
      <c r="C882" s="20">
        <f t="shared" si="26"/>
        <v>46143</v>
      </c>
      <c r="D882" s="17" t="s">
        <v>242</v>
      </c>
      <c r="E882" s="17" t="s">
        <v>16</v>
      </c>
      <c r="F882" s="17" t="s">
        <v>30</v>
      </c>
      <c r="G882" s="21">
        <v>1</v>
      </c>
      <c r="H882" s="12">
        <v>244.12</v>
      </c>
      <c r="I882" s="22">
        <v>0</v>
      </c>
      <c r="J882" s="12">
        <f t="shared" si="27"/>
        <v>244.12</v>
      </c>
      <c r="K882" s="17" t="s">
        <v>59</v>
      </c>
    </row>
    <row r="883" spans="1:11" x14ac:dyDescent="0.25">
      <c r="A883" s="17" t="s">
        <v>1226</v>
      </c>
      <c r="B883" s="19">
        <v>46147</v>
      </c>
      <c r="C883" s="20">
        <f t="shared" si="26"/>
        <v>46143</v>
      </c>
      <c r="D883" s="17" t="s">
        <v>694</v>
      </c>
      <c r="E883" s="17" t="s">
        <v>23</v>
      </c>
      <c r="F883" s="17" t="s">
        <v>30</v>
      </c>
      <c r="G883" s="21">
        <v>1</v>
      </c>
      <c r="H883" s="12">
        <v>57.65</v>
      </c>
      <c r="I883" s="22">
        <v>0</v>
      </c>
      <c r="J883" s="12">
        <f t="shared" si="27"/>
        <v>57.65</v>
      </c>
      <c r="K883" s="17" t="s">
        <v>43</v>
      </c>
    </row>
    <row r="884" spans="1:11" x14ac:dyDescent="0.25">
      <c r="A884" s="17" t="s">
        <v>1227</v>
      </c>
      <c r="B884" s="19">
        <v>46147</v>
      </c>
      <c r="C884" s="20">
        <f t="shared" si="26"/>
        <v>46143</v>
      </c>
      <c r="D884" s="17" t="s">
        <v>199</v>
      </c>
      <c r="E884" s="17" t="s">
        <v>21</v>
      </c>
      <c r="F884" s="17" t="s">
        <v>30</v>
      </c>
      <c r="G884" s="21">
        <v>4</v>
      </c>
      <c r="H884" s="12">
        <v>77.59</v>
      </c>
      <c r="I884" s="22">
        <v>0</v>
      </c>
      <c r="J884" s="12">
        <f t="shared" si="27"/>
        <v>310.36</v>
      </c>
      <c r="K884" s="17" t="s">
        <v>43</v>
      </c>
    </row>
    <row r="885" spans="1:11" x14ac:dyDescent="0.25">
      <c r="A885" s="17" t="s">
        <v>1228</v>
      </c>
      <c r="B885" s="19">
        <v>46147</v>
      </c>
      <c r="C885" s="20">
        <f t="shared" si="26"/>
        <v>46143</v>
      </c>
      <c r="D885" s="17" t="s">
        <v>194</v>
      </c>
      <c r="E885" s="17" t="s">
        <v>16</v>
      </c>
      <c r="F885" s="17" t="s">
        <v>31</v>
      </c>
      <c r="G885" s="21">
        <v>4</v>
      </c>
      <c r="H885" s="12">
        <v>243.84</v>
      </c>
      <c r="I885" s="22">
        <v>0.1</v>
      </c>
      <c r="J885" s="12">
        <f t="shared" si="27"/>
        <v>877.82</v>
      </c>
      <c r="K885" s="17" t="s">
        <v>48</v>
      </c>
    </row>
    <row r="886" spans="1:11" x14ac:dyDescent="0.25">
      <c r="A886" s="17" t="s">
        <v>1229</v>
      </c>
      <c r="B886" s="19">
        <v>46148</v>
      </c>
      <c r="C886" s="20">
        <f t="shared" si="26"/>
        <v>46143</v>
      </c>
      <c r="D886" s="17" t="s">
        <v>380</v>
      </c>
      <c r="E886" s="17" t="s">
        <v>20</v>
      </c>
      <c r="F886" s="17" t="s">
        <v>30</v>
      </c>
      <c r="G886" s="21">
        <v>1</v>
      </c>
      <c r="H886" s="12">
        <v>90.41</v>
      </c>
      <c r="I886" s="22">
        <v>0.1</v>
      </c>
      <c r="J886" s="12">
        <f t="shared" si="27"/>
        <v>81.37</v>
      </c>
      <c r="K886" s="17" t="s">
        <v>59</v>
      </c>
    </row>
    <row r="887" spans="1:11" x14ac:dyDescent="0.25">
      <c r="A887" s="17" t="s">
        <v>1230</v>
      </c>
      <c r="B887" s="19">
        <v>46148</v>
      </c>
      <c r="C887" s="20">
        <f t="shared" si="26"/>
        <v>46143</v>
      </c>
      <c r="D887" s="17" t="s">
        <v>287</v>
      </c>
      <c r="E887" s="17" t="s">
        <v>22</v>
      </c>
      <c r="F887" s="17" t="s">
        <v>30</v>
      </c>
      <c r="G887" s="21">
        <v>5</v>
      </c>
      <c r="H887" s="12">
        <v>100.57</v>
      </c>
      <c r="I887" s="22">
        <v>0.05</v>
      </c>
      <c r="J887" s="12">
        <f t="shared" si="27"/>
        <v>477.71</v>
      </c>
      <c r="K887" s="17" t="s">
        <v>59</v>
      </c>
    </row>
    <row r="888" spans="1:11" x14ac:dyDescent="0.25">
      <c r="A888" s="17" t="s">
        <v>1231</v>
      </c>
      <c r="B888" s="19">
        <v>46148</v>
      </c>
      <c r="C888" s="20">
        <f t="shared" si="26"/>
        <v>46143</v>
      </c>
      <c r="D888" s="17" t="s">
        <v>880</v>
      </c>
      <c r="E888" s="17" t="s">
        <v>26</v>
      </c>
      <c r="F888" s="17" t="s">
        <v>30</v>
      </c>
      <c r="G888" s="21">
        <v>3</v>
      </c>
      <c r="H888" s="12">
        <v>24.29</v>
      </c>
      <c r="I888" s="22">
        <v>0.05</v>
      </c>
      <c r="J888" s="12">
        <f t="shared" si="27"/>
        <v>69.23</v>
      </c>
      <c r="K888" s="17" t="s">
        <v>59</v>
      </c>
    </row>
    <row r="889" spans="1:11" x14ac:dyDescent="0.25">
      <c r="A889" s="17" t="s">
        <v>1232</v>
      </c>
      <c r="B889" s="19">
        <v>46148</v>
      </c>
      <c r="C889" s="20">
        <f t="shared" si="26"/>
        <v>46143</v>
      </c>
      <c r="D889" s="17" t="s">
        <v>629</v>
      </c>
      <c r="E889" s="17" t="s">
        <v>16</v>
      </c>
      <c r="F889" s="17" t="s">
        <v>30</v>
      </c>
      <c r="G889" s="21">
        <v>1</v>
      </c>
      <c r="H889" s="12">
        <v>249.59</v>
      </c>
      <c r="I889" s="22">
        <v>0.15</v>
      </c>
      <c r="J889" s="12">
        <f t="shared" si="27"/>
        <v>212.15</v>
      </c>
      <c r="K889" s="17" t="s">
        <v>59</v>
      </c>
    </row>
    <row r="890" spans="1:11" x14ac:dyDescent="0.25">
      <c r="A890" s="17" t="s">
        <v>1233</v>
      </c>
      <c r="B890" s="19">
        <v>46148</v>
      </c>
      <c r="C890" s="20">
        <f t="shared" si="26"/>
        <v>46143</v>
      </c>
      <c r="D890" s="17" t="s">
        <v>983</v>
      </c>
      <c r="E890" s="17" t="s">
        <v>24</v>
      </c>
      <c r="F890" s="17" t="s">
        <v>30</v>
      </c>
      <c r="G890" s="21">
        <v>3</v>
      </c>
      <c r="H890" s="12">
        <v>34.25</v>
      </c>
      <c r="I890" s="22">
        <v>0</v>
      </c>
      <c r="J890" s="12">
        <f t="shared" si="27"/>
        <v>102.75</v>
      </c>
      <c r="K890" s="17" t="s">
        <v>43</v>
      </c>
    </row>
    <row r="891" spans="1:11" x14ac:dyDescent="0.25">
      <c r="A891" s="17" t="s">
        <v>1234</v>
      </c>
      <c r="B891" s="19">
        <v>46148</v>
      </c>
      <c r="C891" s="20">
        <f t="shared" si="26"/>
        <v>46143</v>
      </c>
      <c r="D891" s="17" t="s">
        <v>502</v>
      </c>
      <c r="E891" s="17" t="s">
        <v>24</v>
      </c>
      <c r="F891" s="17" t="s">
        <v>30</v>
      </c>
      <c r="G891" s="21">
        <v>1</v>
      </c>
      <c r="H891" s="12">
        <v>35.94</v>
      </c>
      <c r="I891" s="22">
        <v>0</v>
      </c>
      <c r="J891" s="12">
        <f t="shared" si="27"/>
        <v>35.94</v>
      </c>
      <c r="K891" s="17" t="s">
        <v>43</v>
      </c>
    </row>
    <row r="892" spans="1:11" x14ac:dyDescent="0.25">
      <c r="A892" s="17" t="s">
        <v>1235</v>
      </c>
      <c r="B892" s="19">
        <v>46148</v>
      </c>
      <c r="C892" s="20">
        <f t="shared" si="26"/>
        <v>46143</v>
      </c>
      <c r="D892" s="17" t="s">
        <v>834</v>
      </c>
      <c r="E892" s="17" t="s">
        <v>22</v>
      </c>
      <c r="F892" s="17" t="s">
        <v>30</v>
      </c>
      <c r="G892" s="21">
        <v>3</v>
      </c>
      <c r="H892" s="12">
        <v>100.05</v>
      </c>
      <c r="I892" s="22">
        <v>0.05</v>
      </c>
      <c r="J892" s="12">
        <f t="shared" si="27"/>
        <v>285.14</v>
      </c>
      <c r="K892" s="17" t="s">
        <v>43</v>
      </c>
    </row>
    <row r="893" spans="1:11" x14ac:dyDescent="0.25">
      <c r="A893" s="17" t="s">
        <v>1236</v>
      </c>
      <c r="B893" s="19">
        <v>46148</v>
      </c>
      <c r="C893" s="20">
        <f t="shared" si="26"/>
        <v>46143</v>
      </c>
      <c r="D893" s="17" t="s">
        <v>235</v>
      </c>
      <c r="E893" s="17" t="s">
        <v>17</v>
      </c>
      <c r="F893" s="17" t="s">
        <v>30</v>
      </c>
      <c r="G893" s="21">
        <v>2</v>
      </c>
      <c r="H893" s="12">
        <v>218.96</v>
      </c>
      <c r="I893" s="22">
        <v>0.15</v>
      </c>
      <c r="J893" s="12">
        <f t="shared" si="27"/>
        <v>372.23</v>
      </c>
      <c r="K893" s="17" t="s">
        <v>43</v>
      </c>
    </row>
    <row r="894" spans="1:11" x14ac:dyDescent="0.25">
      <c r="A894" s="17" t="s">
        <v>1237</v>
      </c>
      <c r="B894" s="19">
        <v>46148</v>
      </c>
      <c r="C894" s="20">
        <f t="shared" si="26"/>
        <v>46143</v>
      </c>
      <c r="D894" s="17" t="s">
        <v>295</v>
      </c>
      <c r="E894" s="17" t="s">
        <v>18</v>
      </c>
      <c r="F894" s="17" t="s">
        <v>31</v>
      </c>
      <c r="G894" s="21">
        <v>1</v>
      </c>
      <c r="H894" s="12">
        <v>149.77000000000001</v>
      </c>
      <c r="I894" s="22">
        <v>0.1</v>
      </c>
      <c r="J894" s="12">
        <f t="shared" si="27"/>
        <v>134.79</v>
      </c>
      <c r="K894" s="17" t="s">
        <v>48</v>
      </c>
    </row>
    <row r="895" spans="1:11" x14ac:dyDescent="0.25">
      <c r="A895" s="17" t="s">
        <v>1238</v>
      </c>
      <c r="B895" s="19">
        <v>46148</v>
      </c>
      <c r="C895" s="20">
        <f t="shared" si="26"/>
        <v>46143</v>
      </c>
      <c r="D895" s="17" t="s">
        <v>312</v>
      </c>
      <c r="E895" s="17" t="s">
        <v>27</v>
      </c>
      <c r="F895" s="17" t="s">
        <v>31</v>
      </c>
      <c r="G895" s="21">
        <v>2</v>
      </c>
      <c r="H895" s="12">
        <v>12.89</v>
      </c>
      <c r="I895" s="22">
        <v>0.1</v>
      </c>
      <c r="J895" s="12">
        <f t="shared" si="27"/>
        <v>23.2</v>
      </c>
      <c r="K895" s="17" t="s">
        <v>48</v>
      </c>
    </row>
    <row r="896" spans="1:11" x14ac:dyDescent="0.25">
      <c r="A896" s="17" t="s">
        <v>1239</v>
      </c>
      <c r="B896" s="19">
        <v>46148</v>
      </c>
      <c r="C896" s="20">
        <f t="shared" si="26"/>
        <v>46143</v>
      </c>
      <c r="D896" s="17" t="s">
        <v>50</v>
      </c>
      <c r="E896" s="17" t="s">
        <v>26</v>
      </c>
      <c r="F896" s="17" t="s">
        <v>31</v>
      </c>
      <c r="G896" s="21">
        <v>2</v>
      </c>
      <c r="H896" s="12">
        <v>24.83</v>
      </c>
      <c r="I896" s="22">
        <v>0.05</v>
      </c>
      <c r="J896" s="12">
        <f t="shared" si="27"/>
        <v>47.18</v>
      </c>
      <c r="K896" s="17" t="s">
        <v>48</v>
      </c>
    </row>
    <row r="897" spans="1:11" x14ac:dyDescent="0.25">
      <c r="A897" s="17" t="s">
        <v>1240</v>
      </c>
      <c r="B897" s="19">
        <v>46149</v>
      </c>
      <c r="C897" s="20">
        <f t="shared" si="26"/>
        <v>46143</v>
      </c>
      <c r="D897" s="17" t="s">
        <v>524</v>
      </c>
      <c r="E897" s="17" t="s">
        <v>22</v>
      </c>
      <c r="F897" s="17" t="s">
        <v>30</v>
      </c>
      <c r="G897" s="21">
        <v>2</v>
      </c>
      <c r="H897" s="12">
        <v>96.37</v>
      </c>
      <c r="I897" s="22">
        <v>0.15</v>
      </c>
      <c r="J897" s="12">
        <f t="shared" si="27"/>
        <v>163.83000000000001</v>
      </c>
      <c r="K897" s="17" t="s">
        <v>59</v>
      </c>
    </row>
    <row r="898" spans="1:11" x14ac:dyDescent="0.25">
      <c r="A898" s="17" t="s">
        <v>1241</v>
      </c>
      <c r="B898" s="19">
        <v>46149</v>
      </c>
      <c r="C898" s="20">
        <f t="shared" ref="C898:C961" si="28">DATE(YEAR(B898),MONTH(B898),1)</f>
        <v>46143</v>
      </c>
      <c r="D898" s="17" t="s">
        <v>859</v>
      </c>
      <c r="E898" s="17" t="s">
        <v>21</v>
      </c>
      <c r="F898" s="17" t="s">
        <v>30</v>
      </c>
      <c r="G898" s="21">
        <v>5</v>
      </c>
      <c r="H898" s="12">
        <v>80.95</v>
      </c>
      <c r="I898" s="22">
        <v>0</v>
      </c>
      <c r="J898" s="12">
        <f t="shared" ref="J898:J961" si="29">ROUND(G898*H898*(1-I898),2)</f>
        <v>404.75</v>
      </c>
      <c r="K898" s="17" t="s">
        <v>59</v>
      </c>
    </row>
    <row r="899" spans="1:11" x14ac:dyDescent="0.25">
      <c r="A899" s="17" t="s">
        <v>1242</v>
      </c>
      <c r="B899" s="19">
        <v>46149</v>
      </c>
      <c r="C899" s="20">
        <f t="shared" si="28"/>
        <v>46143</v>
      </c>
      <c r="D899" s="17" t="s">
        <v>694</v>
      </c>
      <c r="E899" s="17" t="s">
        <v>17</v>
      </c>
      <c r="F899" s="17" t="s">
        <v>30</v>
      </c>
      <c r="G899" s="21">
        <v>4</v>
      </c>
      <c r="H899" s="12">
        <v>217.19</v>
      </c>
      <c r="I899" s="22">
        <v>0.05</v>
      </c>
      <c r="J899" s="12">
        <f t="shared" si="29"/>
        <v>825.32</v>
      </c>
      <c r="K899" s="17" t="s">
        <v>59</v>
      </c>
    </row>
    <row r="900" spans="1:11" x14ac:dyDescent="0.25">
      <c r="A900" s="17" t="s">
        <v>1243</v>
      </c>
      <c r="B900" s="19">
        <v>46149</v>
      </c>
      <c r="C900" s="20">
        <f t="shared" si="28"/>
        <v>46143</v>
      </c>
      <c r="D900" s="17" t="s">
        <v>1244</v>
      </c>
      <c r="E900" s="17" t="s">
        <v>16</v>
      </c>
      <c r="F900" s="17" t="s">
        <v>30</v>
      </c>
      <c r="G900" s="21">
        <v>2</v>
      </c>
      <c r="H900" s="12">
        <v>243.58</v>
      </c>
      <c r="I900" s="22">
        <v>0.15</v>
      </c>
      <c r="J900" s="12">
        <f t="shared" si="29"/>
        <v>414.09</v>
      </c>
      <c r="K900" s="17" t="s">
        <v>59</v>
      </c>
    </row>
    <row r="901" spans="1:11" x14ac:dyDescent="0.25">
      <c r="A901" s="17" t="s">
        <v>1245</v>
      </c>
      <c r="B901" s="19">
        <v>46149</v>
      </c>
      <c r="C901" s="20">
        <f t="shared" si="28"/>
        <v>46143</v>
      </c>
      <c r="D901" s="17" t="s">
        <v>112</v>
      </c>
      <c r="E901" s="17" t="s">
        <v>21</v>
      </c>
      <c r="F901" s="17" t="s">
        <v>30</v>
      </c>
      <c r="G901" s="21">
        <v>1</v>
      </c>
      <c r="H901" s="12">
        <v>77.209999999999994</v>
      </c>
      <c r="I901" s="22">
        <v>0.05</v>
      </c>
      <c r="J901" s="12">
        <f t="shared" si="29"/>
        <v>73.349999999999994</v>
      </c>
      <c r="K901" s="17" t="s">
        <v>59</v>
      </c>
    </row>
    <row r="902" spans="1:11" x14ac:dyDescent="0.25">
      <c r="A902" s="17" t="s">
        <v>1246</v>
      </c>
      <c r="B902" s="19">
        <v>46149</v>
      </c>
      <c r="C902" s="20">
        <f t="shared" si="28"/>
        <v>46143</v>
      </c>
      <c r="D902" s="17" t="s">
        <v>568</v>
      </c>
      <c r="E902" s="17" t="s">
        <v>22</v>
      </c>
      <c r="F902" s="17" t="s">
        <v>30</v>
      </c>
      <c r="G902" s="21">
        <v>1</v>
      </c>
      <c r="H902" s="12">
        <v>100.18</v>
      </c>
      <c r="I902" s="22">
        <v>0.05</v>
      </c>
      <c r="J902" s="12">
        <f t="shared" si="29"/>
        <v>95.17</v>
      </c>
      <c r="K902" s="17" t="s">
        <v>43</v>
      </c>
    </row>
    <row r="903" spans="1:11" x14ac:dyDescent="0.25">
      <c r="A903" s="17" t="s">
        <v>1247</v>
      </c>
      <c r="B903" s="19">
        <v>46149</v>
      </c>
      <c r="C903" s="20">
        <f t="shared" si="28"/>
        <v>46143</v>
      </c>
      <c r="D903" s="17" t="s">
        <v>975</v>
      </c>
      <c r="E903" s="17" t="s">
        <v>24</v>
      </c>
      <c r="F903" s="17" t="s">
        <v>30</v>
      </c>
      <c r="G903" s="21">
        <v>2</v>
      </c>
      <c r="H903" s="12">
        <v>35.21</v>
      </c>
      <c r="I903" s="22">
        <v>0.1</v>
      </c>
      <c r="J903" s="12">
        <f t="shared" si="29"/>
        <v>63.38</v>
      </c>
      <c r="K903" s="17" t="s">
        <v>43</v>
      </c>
    </row>
    <row r="904" spans="1:11" x14ac:dyDescent="0.25">
      <c r="A904" s="17" t="s">
        <v>1248</v>
      </c>
      <c r="B904" s="19">
        <v>46149</v>
      </c>
      <c r="C904" s="20">
        <f t="shared" si="28"/>
        <v>46143</v>
      </c>
      <c r="D904" s="17" t="s">
        <v>78</v>
      </c>
      <c r="E904" s="17" t="s">
        <v>25</v>
      </c>
      <c r="F904" s="17" t="s">
        <v>31</v>
      </c>
      <c r="G904" s="21">
        <v>1</v>
      </c>
      <c r="H904" s="12">
        <v>30.77</v>
      </c>
      <c r="I904" s="22">
        <v>0.05</v>
      </c>
      <c r="J904" s="12">
        <f t="shared" si="29"/>
        <v>29.23</v>
      </c>
      <c r="K904" s="17" t="s">
        <v>48</v>
      </c>
    </row>
    <row r="905" spans="1:11" x14ac:dyDescent="0.25">
      <c r="A905" s="17" t="s">
        <v>1249</v>
      </c>
      <c r="B905" s="19">
        <v>46149</v>
      </c>
      <c r="C905" s="20">
        <f t="shared" si="28"/>
        <v>46143</v>
      </c>
      <c r="D905" s="17" t="s">
        <v>212</v>
      </c>
      <c r="E905" s="17" t="s">
        <v>19</v>
      </c>
      <c r="F905" s="17" t="s">
        <v>31</v>
      </c>
      <c r="G905" s="21">
        <v>1</v>
      </c>
      <c r="H905" s="12">
        <v>126.7</v>
      </c>
      <c r="I905" s="22">
        <v>0</v>
      </c>
      <c r="J905" s="12">
        <f t="shared" si="29"/>
        <v>126.7</v>
      </c>
      <c r="K905" s="17" t="s">
        <v>48</v>
      </c>
    </row>
    <row r="906" spans="1:11" x14ac:dyDescent="0.25">
      <c r="A906" s="17" t="s">
        <v>1250</v>
      </c>
      <c r="B906" s="19">
        <v>46150</v>
      </c>
      <c r="C906" s="20">
        <f t="shared" si="28"/>
        <v>46143</v>
      </c>
      <c r="D906" s="17" t="s">
        <v>441</v>
      </c>
      <c r="E906" s="17" t="s">
        <v>17</v>
      </c>
      <c r="F906" s="17" t="s">
        <v>30</v>
      </c>
      <c r="G906" s="21">
        <v>4</v>
      </c>
      <c r="H906" s="12">
        <v>216.36</v>
      </c>
      <c r="I906" s="22">
        <v>0</v>
      </c>
      <c r="J906" s="12">
        <f t="shared" si="29"/>
        <v>865.44</v>
      </c>
      <c r="K906" s="17" t="s">
        <v>43</v>
      </c>
    </row>
    <row r="907" spans="1:11" x14ac:dyDescent="0.25">
      <c r="A907" s="17" t="s">
        <v>1251</v>
      </c>
      <c r="B907" s="19">
        <v>46150</v>
      </c>
      <c r="C907" s="20">
        <f t="shared" si="28"/>
        <v>46143</v>
      </c>
      <c r="D907" s="17" t="s">
        <v>47</v>
      </c>
      <c r="E907" s="17" t="s">
        <v>21</v>
      </c>
      <c r="F907" s="17" t="s">
        <v>30</v>
      </c>
      <c r="G907" s="21">
        <v>2</v>
      </c>
      <c r="H907" s="12">
        <v>79.44</v>
      </c>
      <c r="I907" s="22">
        <v>0</v>
      </c>
      <c r="J907" s="12">
        <f t="shared" si="29"/>
        <v>158.88</v>
      </c>
      <c r="K907" s="17" t="s">
        <v>43</v>
      </c>
    </row>
    <row r="908" spans="1:11" x14ac:dyDescent="0.25">
      <c r="A908" s="17" t="s">
        <v>1252</v>
      </c>
      <c r="B908" s="19">
        <v>46150</v>
      </c>
      <c r="C908" s="20">
        <f t="shared" si="28"/>
        <v>46143</v>
      </c>
      <c r="D908" s="17" t="s">
        <v>366</v>
      </c>
      <c r="E908" s="17" t="s">
        <v>19</v>
      </c>
      <c r="F908" s="17" t="s">
        <v>31</v>
      </c>
      <c r="G908" s="21">
        <v>3</v>
      </c>
      <c r="H908" s="12">
        <v>131.99</v>
      </c>
      <c r="I908" s="22">
        <v>0</v>
      </c>
      <c r="J908" s="12">
        <f t="shared" si="29"/>
        <v>395.97</v>
      </c>
      <c r="K908" s="17" t="s">
        <v>48</v>
      </c>
    </row>
    <row r="909" spans="1:11" x14ac:dyDescent="0.25">
      <c r="A909" s="17" t="s">
        <v>1253</v>
      </c>
      <c r="B909" s="19">
        <v>46150</v>
      </c>
      <c r="C909" s="20">
        <f t="shared" si="28"/>
        <v>46143</v>
      </c>
      <c r="D909" s="17" t="s">
        <v>1254</v>
      </c>
      <c r="E909" s="17" t="s">
        <v>23</v>
      </c>
      <c r="F909" s="17" t="s">
        <v>31</v>
      </c>
      <c r="G909" s="21">
        <v>2</v>
      </c>
      <c r="H909" s="12">
        <v>58.96</v>
      </c>
      <c r="I909" s="22">
        <v>0</v>
      </c>
      <c r="J909" s="12">
        <f t="shared" si="29"/>
        <v>117.92</v>
      </c>
      <c r="K909" s="17" t="s">
        <v>48</v>
      </c>
    </row>
    <row r="910" spans="1:11" x14ac:dyDescent="0.25">
      <c r="A910" s="17" t="s">
        <v>1255</v>
      </c>
      <c r="B910" s="19">
        <v>46150</v>
      </c>
      <c r="C910" s="20">
        <f t="shared" si="28"/>
        <v>46143</v>
      </c>
      <c r="D910" s="17" t="s">
        <v>374</v>
      </c>
      <c r="E910" s="17" t="s">
        <v>23</v>
      </c>
      <c r="F910" s="17" t="s">
        <v>31</v>
      </c>
      <c r="G910" s="21">
        <v>2</v>
      </c>
      <c r="H910" s="12">
        <v>59.58</v>
      </c>
      <c r="I910" s="22">
        <v>0</v>
      </c>
      <c r="J910" s="12">
        <f t="shared" si="29"/>
        <v>119.16</v>
      </c>
      <c r="K910" s="17" t="s">
        <v>48</v>
      </c>
    </row>
    <row r="911" spans="1:11" x14ac:dyDescent="0.25">
      <c r="A911" s="17" t="s">
        <v>1256</v>
      </c>
      <c r="B911" s="19">
        <v>46150</v>
      </c>
      <c r="C911" s="20">
        <f t="shared" si="28"/>
        <v>46143</v>
      </c>
      <c r="D911" s="17" t="s">
        <v>320</v>
      </c>
      <c r="E911" s="17" t="s">
        <v>19</v>
      </c>
      <c r="F911" s="17" t="s">
        <v>31</v>
      </c>
      <c r="G911" s="21">
        <v>2</v>
      </c>
      <c r="H911" s="12">
        <v>131.51</v>
      </c>
      <c r="I911" s="22">
        <v>0</v>
      </c>
      <c r="J911" s="12">
        <f t="shared" si="29"/>
        <v>263.02</v>
      </c>
      <c r="K911" s="17" t="s">
        <v>48</v>
      </c>
    </row>
    <row r="912" spans="1:11" x14ac:dyDescent="0.25">
      <c r="A912" s="17" t="s">
        <v>1257</v>
      </c>
      <c r="B912" s="19">
        <v>46150</v>
      </c>
      <c r="C912" s="20">
        <f t="shared" si="28"/>
        <v>46143</v>
      </c>
      <c r="D912" s="17" t="s">
        <v>433</v>
      </c>
      <c r="E912" s="17" t="s">
        <v>18</v>
      </c>
      <c r="F912" s="17" t="s">
        <v>31</v>
      </c>
      <c r="G912" s="21">
        <v>3</v>
      </c>
      <c r="H912" s="12">
        <v>146.80000000000001</v>
      </c>
      <c r="I912" s="22">
        <v>0</v>
      </c>
      <c r="J912" s="12">
        <f t="shared" si="29"/>
        <v>440.4</v>
      </c>
      <c r="K912" s="17" t="s">
        <v>48</v>
      </c>
    </row>
    <row r="913" spans="1:11" x14ac:dyDescent="0.25">
      <c r="A913" s="17" t="s">
        <v>1258</v>
      </c>
      <c r="B913" s="19">
        <v>46151</v>
      </c>
      <c r="C913" s="20">
        <f t="shared" si="28"/>
        <v>46143</v>
      </c>
      <c r="D913" s="17" t="s">
        <v>118</v>
      </c>
      <c r="E913" s="17" t="s">
        <v>16</v>
      </c>
      <c r="F913" s="17" t="s">
        <v>30</v>
      </c>
      <c r="G913" s="21">
        <v>1</v>
      </c>
      <c r="H913" s="12">
        <v>252.67</v>
      </c>
      <c r="I913" s="22">
        <v>0.05</v>
      </c>
      <c r="J913" s="12">
        <f t="shared" si="29"/>
        <v>240.04</v>
      </c>
      <c r="K913" s="17" t="s">
        <v>59</v>
      </c>
    </row>
    <row r="914" spans="1:11" x14ac:dyDescent="0.25">
      <c r="A914" s="17" t="s">
        <v>1259</v>
      </c>
      <c r="B914" s="19">
        <v>46151</v>
      </c>
      <c r="C914" s="20">
        <f t="shared" si="28"/>
        <v>46143</v>
      </c>
      <c r="D914" s="17" t="s">
        <v>1260</v>
      </c>
      <c r="E914" s="17" t="s">
        <v>17</v>
      </c>
      <c r="F914" s="17" t="s">
        <v>30</v>
      </c>
      <c r="G914" s="21">
        <v>1</v>
      </c>
      <c r="H914" s="12">
        <v>218.86</v>
      </c>
      <c r="I914" s="22">
        <v>0.15</v>
      </c>
      <c r="J914" s="12">
        <f t="shared" si="29"/>
        <v>186.03</v>
      </c>
      <c r="K914" s="17" t="s">
        <v>43</v>
      </c>
    </row>
    <row r="915" spans="1:11" x14ac:dyDescent="0.25">
      <c r="A915" s="17" t="s">
        <v>1261</v>
      </c>
      <c r="B915" s="19">
        <v>46151</v>
      </c>
      <c r="C915" s="20">
        <f t="shared" si="28"/>
        <v>46143</v>
      </c>
      <c r="D915" s="17" t="s">
        <v>164</v>
      </c>
      <c r="E915" s="17" t="s">
        <v>19</v>
      </c>
      <c r="F915" s="17" t="s">
        <v>30</v>
      </c>
      <c r="G915" s="21">
        <v>5</v>
      </c>
      <c r="H915" s="12">
        <v>125.49</v>
      </c>
      <c r="I915" s="22">
        <v>0</v>
      </c>
      <c r="J915" s="12">
        <f t="shared" si="29"/>
        <v>627.45000000000005</v>
      </c>
      <c r="K915" s="17" t="s">
        <v>43</v>
      </c>
    </row>
    <row r="916" spans="1:11" x14ac:dyDescent="0.25">
      <c r="A916" s="17" t="s">
        <v>1262</v>
      </c>
      <c r="B916" s="19">
        <v>46151</v>
      </c>
      <c r="C916" s="20">
        <f t="shared" si="28"/>
        <v>46143</v>
      </c>
      <c r="D916" s="17" t="s">
        <v>244</v>
      </c>
      <c r="E916" s="17" t="s">
        <v>21</v>
      </c>
      <c r="F916" s="17" t="s">
        <v>31</v>
      </c>
      <c r="G916" s="21">
        <v>3</v>
      </c>
      <c r="H916" s="12">
        <v>78.47</v>
      </c>
      <c r="I916" s="22">
        <v>0</v>
      </c>
      <c r="J916" s="12">
        <f t="shared" si="29"/>
        <v>235.41</v>
      </c>
      <c r="K916" s="17" t="s">
        <v>48</v>
      </c>
    </row>
    <row r="917" spans="1:11" x14ac:dyDescent="0.25">
      <c r="A917" s="17" t="s">
        <v>1263</v>
      </c>
      <c r="B917" s="19">
        <v>46151</v>
      </c>
      <c r="C917" s="20">
        <f t="shared" si="28"/>
        <v>46143</v>
      </c>
      <c r="D917" s="17" t="s">
        <v>473</v>
      </c>
      <c r="E917" s="17" t="s">
        <v>23</v>
      </c>
      <c r="F917" s="17" t="s">
        <v>31</v>
      </c>
      <c r="G917" s="21">
        <v>2</v>
      </c>
      <c r="H917" s="12">
        <v>59.27</v>
      </c>
      <c r="I917" s="22">
        <v>0</v>
      </c>
      <c r="J917" s="12">
        <f t="shared" si="29"/>
        <v>118.54</v>
      </c>
      <c r="K917" s="17" t="s">
        <v>48</v>
      </c>
    </row>
    <row r="918" spans="1:11" x14ac:dyDescent="0.25">
      <c r="A918" s="17" t="s">
        <v>1264</v>
      </c>
      <c r="B918" s="19">
        <v>46152</v>
      </c>
      <c r="C918" s="20">
        <f t="shared" si="28"/>
        <v>46143</v>
      </c>
      <c r="D918" s="17" t="s">
        <v>45</v>
      </c>
      <c r="E918" s="17" t="s">
        <v>18</v>
      </c>
      <c r="F918" s="17" t="s">
        <v>30</v>
      </c>
      <c r="G918" s="21">
        <v>2</v>
      </c>
      <c r="H918" s="12">
        <v>144.93</v>
      </c>
      <c r="I918" s="22">
        <v>0</v>
      </c>
      <c r="J918" s="12">
        <f t="shared" si="29"/>
        <v>289.86</v>
      </c>
      <c r="K918" s="17" t="s">
        <v>59</v>
      </c>
    </row>
    <row r="919" spans="1:11" x14ac:dyDescent="0.25">
      <c r="A919" s="17" t="s">
        <v>1265</v>
      </c>
      <c r="B919" s="19">
        <v>46152</v>
      </c>
      <c r="C919" s="20">
        <f t="shared" si="28"/>
        <v>46143</v>
      </c>
      <c r="D919" s="17" t="s">
        <v>709</v>
      </c>
      <c r="E919" s="17" t="s">
        <v>23</v>
      </c>
      <c r="F919" s="17" t="s">
        <v>30</v>
      </c>
      <c r="G919" s="21">
        <v>3</v>
      </c>
      <c r="H919" s="12">
        <v>58.23</v>
      </c>
      <c r="I919" s="22">
        <v>0.1</v>
      </c>
      <c r="J919" s="12">
        <f t="shared" si="29"/>
        <v>157.22</v>
      </c>
      <c r="K919" s="17" t="s">
        <v>59</v>
      </c>
    </row>
    <row r="920" spans="1:11" x14ac:dyDescent="0.25">
      <c r="A920" s="17" t="s">
        <v>1266</v>
      </c>
      <c r="B920" s="19">
        <v>46152</v>
      </c>
      <c r="C920" s="20">
        <f t="shared" si="28"/>
        <v>46143</v>
      </c>
      <c r="D920" s="17" t="s">
        <v>251</v>
      </c>
      <c r="E920" s="17" t="s">
        <v>17</v>
      </c>
      <c r="F920" s="17" t="s">
        <v>30</v>
      </c>
      <c r="G920" s="21">
        <v>2</v>
      </c>
      <c r="H920" s="12">
        <v>222.35</v>
      </c>
      <c r="I920" s="22">
        <v>0.1</v>
      </c>
      <c r="J920" s="12">
        <f t="shared" si="29"/>
        <v>400.23</v>
      </c>
      <c r="K920" s="17" t="s">
        <v>59</v>
      </c>
    </row>
    <row r="921" spans="1:11" x14ac:dyDescent="0.25">
      <c r="A921" s="17" t="s">
        <v>1267</v>
      </c>
      <c r="B921" s="19">
        <v>46152</v>
      </c>
      <c r="C921" s="20">
        <f t="shared" si="28"/>
        <v>46143</v>
      </c>
      <c r="D921" s="17" t="s">
        <v>52</v>
      </c>
      <c r="E921" s="17" t="s">
        <v>24</v>
      </c>
      <c r="F921" s="17" t="s">
        <v>30</v>
      </c>
      <c r="G921" s="21">
        <v>5</v>
      </c>
      <c r="H921" s="12">
        <v>35.6</v>
      </c>
      <c r="I921" s="22">
        <v>0</v>
      </c>
      <c r="J921" s="12">
        <f t="shared" si="29"/>
        <v>178</v>
      </c>
      <c r="K921" s="17" t="s">
        <v>59</v>
      </c>
    </row>
    <row r="922" spans="1:11" x14ac:dyDescent="0.25">
      <c r="A922" s="17" t="s">
        <v>1268</v>
      </c>
      <c r="B922" s="19">
        <v>46152</v>
      </c>
      <c r="C922" s="20">
        <f t="shared" si="28"/>
        <v>46143</v>
      </c>
      <c r="D922" s="17" t="s">
        <v>1254</v>
      </c>
      <c r="E922" s="17" t="s">
        <v>17</v>
      </c>
      <c r="F922" s="17" t="s">
        <v>30</v>
      </c>
      <c r="G922" s="21">
        <v>1</v>
      </c>
      <c r="H922" s="12">
        <v>213.22</v>
      </c>
      <c r="I922" s="22">
        <v>0.1</v>
      </c>
      <c r="J922" s="12">
        <f t="shared" si="29"/>
        <v>191.9</v>
      </c>
      <c r="K922" s="17" t="s">
        <v>59</v>
      </c>
    </row>
    <row r="923" spans="1:11" x14ac:dyDescent="0.25">
      <c r="A923" s="17" t="s">
        <v>1269</v>
      </c>
      <c r="B923" s="19">
        <v>46152</v>
      </c>
      <c r="C923" s="20">
        <f t="shared" si="28"/>
        <v>46143</v>
      </c>
      <c r="D923" s="17" t="s">
        <v>382</v>
      </c>
      <c r="E923" s="17" t="s">
        <v>26</v>
      </c>
      <c r="F923" s="17" t="s">
        <v>30</v>
      </c>
      <c r="G923" s="21">
        <v>5</v>
      </c>
      <c r="H923" s="12">
        <v>24.45</v>
      </c>
      <c r="I923" s="22">
        <v>0</v>
      </c>
      <c r="J923" s="12">
        <f t="shared" si="29"/>
        <v>122.25</v>
      </c>
      <c r="K923" s="17" t="s">
        <v>43</v>
      </c>
    </row>
    <row r="924" spans="1:11" x14ac:dyDescent="0.25">
      <c r="A924" s="17" t="s">
        <v>1270</v>
      </c>
      <c r="B924" s="19">
        <v>46152</v>
      </c>
      <c r="C924" s="20">
        <f t="shared" si="28"/>
        <v>46143</v>
      </c>
      <c r="D924" s="17" t="s">
        <v>192</v>
      </c>
      <c r="E924" s="17" t="s">
        <v>25</v>
      </c>
      <c r="F924" s="17" t="s">
        <v>30</v>
      </c>
      <c r="G924" s="21">
        <v>2</v>
      </c>
      <c r="H924" s="12">
        <v>29.53</v>
      </c>
      <c r="I924" s="22">
        <v>0</v>
      </c>
      <c r="J924" s="12">
        <f t="shared" si="29"/>
        <v>59.06</v>
      </c>
      <c r="K924" s="17" t="s">
        <v>43</v>
      </c>
    </row>
    <row r="925" spans="1:11" x14ac:dyDescent="0.25">
      <c r="A925" s="17" t="s">
        <v>1271</v>
      </c>
      <c r="B925" s="19">
        <v>46152</v>
      </c>
      <c r="C925" s="20">
        <f t="shared" si="28"/>
        <v>46143</v>
      </c>
      <c r="D925" s="17" t="s">
        <v>272</v>
      </c>
      <c r="E925" s="17" t="s">
        <v>23</v>
      </c>
      <c r="F925" s="17" t="s">
        <v>30</v>
      </c>
      <c r="G925" s="21">
        <v>1</v>
      </c>
      <c r="H925" s="12">
        <v>59.47</v>
      </c>
      <c r="I925" s="22">
        <v>0</v>
      </c>
      <c r="J925" s="12">
        <f t="shared" si="29"/>
        <v>59.47</v>
      </c>
      <c r="K925" s="17" t="s">
        <v>43</v>
      </c>
    </row>
    <row r="926" spans="1:11" x14ac:dyDescent="0.25">
      <c r="A926" s="17" t="s">
        <v>1272</v>
      </c>
      <c r="B926" s="19">
        <v>46152</v>
      </c>
      <c r="C926" s="20">
        <f t="shared" si="28"/>
        <v>46143</v>
      </c>
      <c r="D926" s="17" t="s">
        <v>790</v>
      </c>
      <c r="E926" s="17" t="s">
        <v>18</v>
      </c>
      <c r="F926" s="17" t="s">
        <v>31</v>
      </c>
      <c r="G926" s="21">
        <v>3</v>
      </c>
      <c r="H926" s="12">
        <v>149.13999999999999</v>
      </c>
      <c r="I926" s="22">
        <v>0.15</v>
      </c>
      <c r="J926" s="12">
        <f t="shared" si="29"/>
        <v>380.31</v>
      </c>
      <c r="K926" s="17" t="s">
        <v>48</v>
      </c>
    </row>
    <row r="927" spans="1:11" x14ac:dyDescent="0.25">
      <c r="A927" s="17" t="s">
        <v>1273</v>
      </c>
      <c r="B927" s="19">
        <v>46152</v>
      </c>
      <c r="C927" s="20">
        <f t="shared" si="28"/>
        <v>46143</v>
      </c>
      <c r="D927" s="17" t="s">
        <v>579</v>
      </c>
      <c r="E927" s="17" t="s">
        <v>21</v>
      </c>
      <c r="F927" s="17" t="s">
        <v>31</v>
      </c>
      <c r="G927" s="21">
        <v>2</v>
      </c>
      <c r="H927" s="12">
        <v>78.3</v>
      </c>
      <c r="I927" s="22">
        <v>0</v>
      </c>
      <c r="J927" s="12">
        <f t="shared" si="29"/>
        <v>156.6</v>
      </c>
      <c r="K927" s="17" t="s">
        <v>48</v>
      </c>
    </row>
    <row r="928" spans="1:11" x14ac:dyDescent="0.25">
      <c r="A928" s="17" t="s">
        <v>1274</v>
      </c>
      <c r="B928" s="19">
        <v>46152</v>
      </c>
      <c r="C928" s="20">
        <f t="shared" si="28"/>
        <v>46143</v>
      </c>
      <c r="D928" s="17" t="s">
        <v>210</v>
      </c>
      <c r="E928" s="17" t="s">
        <v>21</v>
      </c>
      <c r="F928" s="17" t="s">
        <v>31</v>
      </c>
      <c r="G928" s="21">
        <v>1</v>
      </c>
      <c r="H928" s="12">
        <v>77.66</v>
      </c>
      <c r="I928" s="22">
        <v>0</v>
      </c>
      <c r="J928" s="12">
        <f t="shared" si="29"/>
        <v>77.66</v>
      </c>
      <c r="K928" s="17" t="s">
        <v>48</v>
      </c>
    </row>
    <row r="929" spans="1:11" x14ac:dyDescent="0.25">
      <c r="A929" s="17" t="s">
        <v>1275</v>
      </c>
      <c r="B929" s="19">
        <v>46153</v>
      </c>
      <c r="C929" s="20">
        <f t="shared" si="28"/>
        <v>46143</v>
      </c>
      <c r="D929" s="17" t="s">
        <v>208</v>
      </c>
      <c r="E929" s="17" t="s">
        <v>18</v>
      </c>
      <c r="F929" s="17" t="s">
        <v>30</v>
      </c>
      <c r="G929" s="21">
        <v>3</v>
      </c>
      <c r="H929" s="12">
        <v>151.55000000000001</v>
      </c>
      <c r="I929" s="22">
        <v>0.05</v>
      </c>
      <c r="J929" s="12">
        <f t="shared" si="29"/>
        <v>431.92</v>
      </c>
      <c r="K929" s="17" t="s">
        <v>59</v>
      </c>
    </row>
    <row r="930" spans="1:11" x14ac:dyDescent="0.25">
      <c r="A930" s="17" t="s">
        <v>1276</v>
      </c>
      <c r="B930" s="19">
        <v>46153</v>
      </c>
      <c r="C930" s="20">
        <f t="shared" si="28"/>
        <v>46143</v>
      </c>
      <c r="D930" s="17" t="s">
        <v>1277</v>
      </c>
      <c r="E930" s="17" t="s">
        <v>18</v>
      </c>
      <c r="F930" s="17" t="s">
        <v>30</v>
      </c>
      <c r="G930" s="21">
        <v>1</v>
      </c>
      <c r="H930" s="12">
        <v>147.78</v>
      </c>
      <c r="I930" s="22">
        <v>0</v>
      </c>
      <c r="J930" s="12">
        <f t="shared" si="29"/>
        <v>147.78</v>
      </c>
      <c r="K930" s="17" t="s">
        <v>43</v>
      </c>
    </row>
    <row r="931" spans="1:11" x14ac:dyDescent="0.25">
      <c r="A931" s="17" t="s">
        <v>1278</v>
      </c>
      <c r="B931" s="19">
        <v>46153</v>
      </c>
      <c r="C931" s="20">
        <f t="shared" si="28"/>
        <v>46143</v>
      </c>
      <c r="D931" s="17" t="s">
        <v>728</v>
      </c>
      <c r="E931" s="17" t="s">
        <v>20</v>
      </c>
      <c r="F931" s="17" t="s">
        <v>30</v>
      </c>
      <c r="G931" s="21">
        <v>1</v>
      </c>
      <c r="H931" s="12">
        <v>89.43</v>
      </c>
      <c r="I931" s="22">
        <v>0.05</v>
      </c>
      <c r="J931" s="12">
        <f t="shared" si="29"/>
        <v>84.96</v>
      </c>
      <c r="K931" s="17" t="s">
        <v>43</v>
      </c>
    </row>
    <row r="932" spans="1:11" x14ac:dyDescent="0.25">
      <c r="A932" s="17" t="s">
        <v>1279</v>
      </c>
      <c r="B932" s="19">
        <v>46153</v>
      </c>
      <c r="C932" s="20">
        <f t="shared" si="28"/>
        <v>46143</v>
      </c>
      <c r="D932" s="17" t="s">
        <v>1141</v>
      </c>
      <c r="E932" s="17" t="s">
        <v>21</v>
      </c>
      <c r="F932" s="17" t="s">
        <v>31</v>
      </c>
      <c r="G932" s="21">
        <v>5</v>
      </c>
      <c r="H932" s="12">
        <v>76.760000000000005</v>
      </c>
      <c r="I932" s="22">
        <v>0.15</v>
      </c>
      <c r="J932" s="12">
        <f t="shared" si="29"/>
        <v>326.23</v>
      </c>
      <c r="K932" s="17" t="s">
        <v>48</v>
      </c>
    </row>
    <row r="933" spans="1:11" x14ac:dyDescent="0.25">
      <c r="A933" s="17" t="s">
        <v>1280</v>
      </c>
      <c r="B933" s="19">
        <v>46153</v>
      </c>
      <c r="C933" s="20">
        <f t="shared" si="28"/>
        <v>46143</v>
      </c>
      <c r="D933" s="17" t="s">
        <v>754</v>
      </c>
      <c r="E933" s="17" t="s">
        <v>19</v>
      </c>
      <c r="F933" s="17" t="s">
        <v>31</v>
      </c>
      <c r="G933" s="21">
        <v>1</v>
      </c>
      <c r="H933" s="12">
        <v>129.41</v>
      </c>
      <c r="I933" s="22">
        <v>0</v>
      </c>
      <c r="J933" s="12">
        <f t="shared" si="29"/>
        <v>129.41</v>
      </c>
      <c r="K933" s="17" t="s">
        <v>48</v>
      </c>
    </row>
    <row r="934" spans="1:11" x14ac:dyDescent="0.25">
      <c r="A934" s="17" t="s">
        <v>1281</v>
      </c>
      <c r="B934" s="19">
        <v>46153</v>
      </c>
      <c r="C934" s="20">
        <f t="shared" si="28"/>
        <v>46143</v>
      </c>
      <c r="D934" s="17" t="s">
        <v>82</v>
      </c>
      <c r="E934" s="17" t="s">
        <v>22</v>
      </c>
      <c r="F934" s="17" t="s">
        <v>31</v>
      </c>
      <c r="G934" s="21">
        <v>1</v>
      </c>
      <c r="H934" s="12">
        <v>98.31</v>
      </c>
      <c r="I934" s="22">
        <v>0.1</v>
      </c>
      <c r="J934" s="12">
        <f t="shared" si="29"/>
        <v>88.48</v>
      </c>
      <c r="K934" s="17" t="s">
        <v>48</v>
      </c>
    </row>
    <row r="935" spans="1:11" x14ac:dyDescent="0.25">
      <c r="A935" s="17" t="s">
        <v>1282</v>
      </c>
      <c r="B935" s="19">
        <v>46154</v>
      </c>
      <c r="C935" s="20">
        <f t="shared" si="28"/>
        <v>46143</v>
      </c>
      <c r="D935" s="17" t="s">
        <v>594</v>
      </c>
      <c r="E935" s="17" t="s">
        <v>18</v>
      </c>
      <c r="F935" s="17" t="s">
        <v>30</v>
      </c>
      <c r="G935" s="21">
        <v>1</v>
      </c>
      <c r="H935" s="12">
        <v>146.79</v>
      </c>
      <c r="I935" s="22">
        <v>0.05</v>
      </c>
      <c r="J935" s="12">
        <f t="shared" si="29"/>
        <v>139.44999999999999</v>
      </c>
      <c r="K935" s="17" t="s">
        <v>59</v>
      </c>
    </row>
    <row r="936" spans="1:11" x14ac:dyDescent="0.25">
      <c r="A936" s="17" t="s">
        <v>1283</v>
      </c>
      <c r="B936" s="19">
        <v>46154</v>
      </c>
      <c r="C936" s="20">
        <f t="shared" si="28"/>
        <v>46143</v>
      </c>
      <c r="D936" s="17" t="s">
        <v>61</v>
      </c>
      <c r="E936" s="17" t="s">
        <v>22</v>
      </c>
      <c r="F936" s="17" t="s">
        <v>30</v>
      </c>
      <c r="G936" s="21">
        <v>2</v>
      </c>
      <c r="H936" s="12">
        <v>98.24</v>
      </c>
      <c r="I936" s="22">
        <v>0</v>
      </c>
      <c r="J936" s="12">
        <f t="shared" si="29"/>
        <v>196.48</v>
      </c>
      <c r="K936" s="17" t="s">
        <v>43</v>
      </c>
    </row>
    <row r="937" spans="1:11" x14ac:dyDescent="0.25">
      <c r="A937" s="17" t="s">
        <v>1284</v>
      </c>
      <c r="B937" s="19">
        <v>46154</v>
      </c>
      <c r="C937" s="20">
        <f t="shared" si="28"/>
        <v>46143</v>
      </c>
      <c r="D937" s="17" t="s">
        <v>485</v>
      </c>
      <c r="E937" s="17" t="s">
        <v>17</v>
      </c>
      <c r="F937" s="17" t="s">
        <v>30</v>
      </c>
      <c r="G937" s="21">
        <v>4</v>
      </c>
      <c r="H937" s="12">
        <v>219.03</v>
      </c>
      <c r="I937" s="22">
        <v>0</v>
      </c>
      <c r="J937" s="12">
        <f t="shared" si="29"/>
        <v>876.12</v>
      </c>
      <c r="K937" s="17" t="s">
        <v>43</v>
      </c>
    </row>
    <row r="938" spans="1:11" x14ac:dyDescent="0.25">
      <c r="A938" s="17" t="s">
        <v>1285</v>
      </c>
      <c r="B938" s="19">
        <v>46154</v>
      </c>
      <c r="C938" s="20">
        <f t="shared" si="28"/>
        <v>46143</v>
      </c>
      <c r="D938" s="17" t="s">
        <v>1286</v>
      </c>
      <c r="E938" s="17" t="s">
        <v>22</v>
      </c>
      <c r="F938" s="17" t="s">
        <v>30</v>
      </c>
      <c r="G938" s="21">
        <v>4</v>
      </c>
      <c r="H938" s="12">
        <v>101.12</v>
      </c>
      <c r="I938" s="22">
        <v>0</v>
      </c>
      <c r="J938" s="12">
        <f t="shared" si="29"/>
        <v>404.48</v>
      </c>
      <c r="K938" s="17" t="s">
        <v>43</v>
      </c>
    </row>
    <row r="939" spans="1:11" x14ac:dyDescent="0.25">
      <c r="A939" s="17" t="s">
        <v>1287</v>
      </c>
      <c r="B939" s="19">
        <v>46154</v>
      </c>
      <c r="C939" s="20">
        <f t="shared" si="28"/>
        <v>46143</v>
      </c>
      <c r="D939" s="17" t="s">
        <v>868</v>
      </c>
      <c r="E939" s="17" t="s">
        <v>17</v>
      </c>
      <c r="F939" s="17" t="s">
        <v>31</v>
      </c>
      <c r="G939" s="21">
        <v>2</v>
      </c>
      <c r="H939" s="12">
        <v>221.22</v>
      </c>
      <c r="I939" s="22">
        <v>0.15</v>
      </c>
      <c r="J939" s="12">
        <f t="shared" si="29"/>
        <v>376.07</v>
      </c>
      <c r="K939" s="17" t="s">
        <v>48</v>
      </c>
    </row>
    <row r="940" spans="1:11" x14ac:dyDescent="0.25">
      <c r="A940" s="17" t="s">
        <v>1288</v>
      </c>
      <c r="B940" s="19">
        <v>46154</v>
      </c>
      <c r="C940" s="20">
        <f t="shared" si="28"/>
        <v>46143</v>
      </c>
      <c r="D940" s="17" t="s">
        <v>776</v>
      </c>
      <c r="E940" s="17" t="s">
        <v>24</v>
      </c>
      <c r="F940" s="17" t="s">
        <v>31</v>
      </c>
      <c r="G940" s="21">
        <v>3</v>
      </c>
      <c r="H940" s="12">
        <v>35.770000000000003</v>
      </c>
      <c r="I940" s="22">
        <v>0</v>
      </c>
      <c r="J940" s="12">
        <f t="shared" si="29"/>
        <v>107.31</v>
      </c>
      <c r="K940" s="17" t="s">
        <v>48</v>
      </c>
    </row>
    <row r="941" spans="1:11" x14ac:dyDescent="0.25">
      <c r="A941" s="17" t="s">
        <v>1289</v>
      </c>
      <c r="B941" s="19">
        <v>46154</v>
      </c>
      <c r="C941" s="20">
        <f t="shared" si="28"/>
        <v>46143</v>
      </c>
      <c r="D941" s="17" t="s">
        <v>467</v>
      </c>
      <c r="E941" s="17" t="s">
        <v>16</v>
      </c>
      <c r="F941" s="17" t="s">
        <v>31</v>
      </c>
      <c r="G941" s="21">
        <v>1</v>
      </c>
      <c r="H941" s="12">
        <v>248.97</v>
      </c>
      <c r="I941" s="22">
        <v>0.15</v>
      </c>
      <c r="J941" s="12">
        <f t="shared" si="29"/>
        <v>211.62</v>
      </c>
      <c r="K941" s="17" t="s">
        <v>48</v>
      </c>
    </row>
    <row r="942" spans="1:11" x14ac:dyDescent="0.25">
      <c r="A942" s="17" t="s">
        <v>1290</v>
      </c>
      <c r="B942" s="19">
        <v>46154</v>
      </c>
      <c r="C942" s="20">
        <f t="shared" si="28"/>
        <v>46143</v>
      </c>
      <c r="D942" s="17" t="s">
        <v>192</v>
      </c>
      <c r="E942" s="17" t="s">
        <v>27</v>
      </c>
      <c r="F942" s="17" t="s">
        <v>31</v>
      </c>
      <c r="G942" s="21">
        <v>3</v>
      </c>
      <c r="H942" s="12">
        <v>12.75</v>
      </c>
      <c r="I942" s="22">
        <v>0</v>
      </c>
      <c r="J942" s="12">
        <f t="shared" si="29"/>
        <v>38.25</v>
      </c>
      <c r="K942" s="17" t="s">
        <v>48</v>
      </c>
    </row>
    <row r="943" spans="1:11" x14ac:dyDescent="0.25">
      <c r="A943" s="17" t="s">
        <v>1291</v>
      </c>
      <c r="B943" s="19">
        <v>46155</v>
      </c>
      <c r="C943" s="20">
        <f t="shared" si="28"/>
        <v>46143</v>
      </c>
      <c r="D943" s="17" t="s">
        <v>1106</v>
      </c>
      <c r="E943" s="17" t="s">
        <v>24</v>
      </c>
      <c r="F943" s="17" t="s">
        <v>30</v>
      </c>
      <c r="G943" s="21">
        <v>3</v>
      </c>
      <c r="H943" s="12">
        <v>35.479999999999997</v>
      </c>
      <c r="I943" s="22">
        <v>0.15</v>
      </c>
      <c r="J943" s="12">
        <f t="shared" si="29"/>
        <v>90.47</v>
      </c>
      <c r="K943" s="17" t="s">
        <v>59</v>
      </c>
    </row>
    <row r="944" spans="1:11" x14ac:dyDescent="0.25">
      <c r="A944" s="17" t="s">
        <v>1292</v>
      </c>
      <c r="B944" s="19">
        <v>46155</v>
      </c>
      <c r="C944" s="20">
        <f t="shared" si="28"/>
        <v>46143</v>
      </c>
      <c r="D944" s="17" t="s">
        <v>395</v>
      </c>
      <c r="E944" s="17" t="s">
        <v>19</v>
      </c>
      <c r="F944" s="17" t="s">
        <v>30</v>
      </c>
      <c r="G944" s="21">
        <v>1</v>
      </c>
      <c r="H944" s="12">
        <v>131.47999999999999</v>
      </c>
      <c r="I944" s="22">
        <v>0</v>
      </c>
      <c r="J944" s="12">
        <f t="shared" si="29"/>
        <v>131.47999999999999</v>
      </c>
      <c r="K944" s="17" t="s">
        <v>43</v>
      </c>
    </row>
    <row r="945" spans="1:11" x14ac:dyDescent="0.25">
      <c r="A945" s="17" t="s">
        <v>1293</v>
      </c>
      <c r="B945" s="19">
        <v>46155</v>
      </c>
      <c r="C945" s="20">
        <f t="shared" si="28"/>
        <v>46143</v>
      </c>
      <c r="D945" s="17" t="s">
        <v>875</v>
      </c>
      <c r="E945" s="17" t="s">
        <v>23</v>
      </c>
      <c r="F945" s="17" t="s">
        <v>31</v>
      </c>
      <c r="G945" s="21">
        <v>5</v>
      </c>
      <c r="H945" s="12">
        <v>57.66</v>
      </c>
      <c r="I945" s="22">
        <v>0</v>
      </c>
      <c r="J945" s="12">
        <f t="shared" si="29"/>
        <v>288.3</v>
      </c>
      <c r="K945" s="17" t="s">
        <v>48</v>
      </c>
    </row>
    <row r="946" spans="1:11" x14ac:dyDescent="0.25">
      <c r="A946" s="17" t="s">
        <v>1294</v>
      </c>
      <c r="B946" s="19">
        <v>46155</v>
      </c>
      <c r="C946" s="20">
        <f t="shared" si="28"/>
        <v>46143</v>
      </c>
      <c r="D946" s="17" t="s">
        <v>1295</v>
      </c>
      <c r="E946" s="17" t="s">
        <v>18</v>
      </c>
      <c r="F946" s="17" t="s">
        <v>31</v>
      </c>
      <c r="G946" s="21">
        <v>1</v>
      </c>
      <c r="H946" s="12">
        <v>149.77000000000001</v>
      </c>
      <c r="I946" s="22">
        <v>0.15</v>
      </c>
      <c r="J946" s="12">
        <f t="shared" si="29"/>
        <v>127.3</v>
      </c>
      <c r="K946" s="17" t="s">
        <v>48</v>
      </c>
    </row>
    <row r="947" spans="1:11" x14ac:dyDescent="0.25">
      <c r="A947" s="17" t="s">
        <v>1296</v>
      </c>
      <c r="B947" s="19">
        <v>46155</v>
      </c>
      <c r="C947" s="20">
        <f t="shared" si="28"/>
        <v>46143</v>
      </c>
      <c r="D947" s="17" t="s">
        <v>694</v>
      </c>
      <c r="E947" s="17" t="s">
        <v>19</v>
      </c>
      <c r="F947" s="17" t="s">
        <v>31</v>
      </c>
      <c r="G947" s="21">
        <v>4</v>
      </c>
      <c r="H947" s="12">
        <v>132.24</v>
      </c>
      <c r="I947" s="22">
        <v>0</v>
      </c>
      <c r="J947" s="12">
        <f t="shared" si="29"/>
        <v>528.96</v>
      </c>
      <c r="K947" s="17" t="s">
        <v>48</v>
      </c>
    </row>
    <row r="948" spans="1:11" x14ac:dyDescent="0.25">
      <c r="A948" s="17" t="s">
        <v>1297</v>
      </c>
      <c r="B948" s="19">
        <v>46155</v>
      </c>
      <c r="C948" s="20">
        <f t="shared" si="28"/>
        <v>46143</v>
      </c>
      <c r="D948" s="17" t="s">
        <v>1298</v>
      </c>
      <c r="E948" s="17" t="s">
        <v>18</v>
      </c>
      <c r="F948" s="17" t="s">
        <v>31</v>
      </c>
      <c r="G948" s="21">
        <v>1</v>
      </c>
      <c r="H948" s="12">
        <v>150.88999999999999</v>
      </c>
      <c r="I948" s="22">
        <v>0</v>
      </c>
      <c r="J948" s="12">
        <f t="shared" si="29"/>
        <v>150.88999999999999</v>
      </c>
      <c r="K948" s="17" t="s">
        <v>48</v>
      </c>
    </row>
    <row r="949" spans="1:11" x14ac:dyDescent="0.25">
      <c r="A949" s="17" t="s">
        <v>1299</v>
      </c>
      <c r="B949" s="19">
        <v>46155</v>
      </c>
      <c r="C949" s="20">
        <f t="shared" si="28"/>
        <v>46143</v>
      </c>
      <c r="D949" s="17" t="s">
        <v>643</v>
      </c>
      <c r="E949" s="17" t="s">
        <v>24</v>
      </c>
      <c r="F949" s="17" t="s">
        <v>31</v>
      </c>
      <c r="G949" s="21">
        <v>2</v>
      </c>
      <c r="H949" s="12">
        <v>34.799999999999997</v>
      </c>
      <c r="I949" s="22">
        <v>0.1</v>
      </c>
      <c r="J949" s="12">
        <f t="shared" si="29"/>
        <v>62.64</v>
      </c>
      <c r="K949" s="17" t="s">
        <v>48</v>
      </c>
    </row>
    <row r="950" spans="1:11" x14ac:dyDescent="0.25">
      <c r="A950" s="17" t="s">
        <v>1300</v>
      </c>
      <c r="B950" s="19">
        <v>46155</v>
      </c>
      <c r="C950" s="20">
        <f t="shared" si="28"/>
        <v>46143</v>
      </c>
      <c r="D950" s="17" t="s">
        <v>197</v>
      </c>
      <c r="E950" s="17" t="s">
        <v>25</v>
      </c>
      <c r="F950" s="17" t="s">
        <v>31</v>
      </c>
      <c r="G950" s="21">
        <v>2</v>
      </c>
      <c r="H950" s="12">
        <v>29.31</v>
      </c>
      <c r="I950" s="22">
        <v>0</v>
      </c>
      <c r="J950" s="12">
        <f t="shared" si="29"/>
        <v>58.62</v>
      </c>
      <c r="K950" s="17" t="s">
        <v>48</v>
      </c>
    </row>
    <row r="951" spans="1:11" x14ac:dyDescent="0.25">
      <c r="A951" s="17" t="s">
        <v>1301</v>
      </c>
      <c r="B951" s="19">
        <v>46156</v>
      </c>
      <c r="C951" s="20">
        <f t="shared" si="28"/>
        <v>46143</v>
      </c>
      <c r="D951" s="17" t="s">
        <v>380</v>
      </c>
      <c r="E951" s="17" t="s">
        <v>16</v>
      </c>
      <c r="F951" s="17" t="s">
        <v>30</v>
      </c>
      <c r="G951" s="21">
        <v>3</v>
      </c>
      <c r="H951" s="12">
        <v>246.54</v>
      </c>
      <c r="I951" s="22">
        <v>0.15</v>
      </c>
      <c r="J951" s="12">
        <f t="shared" si="29"/>
        <v>628.67999999999995</v>
      </c>
      <c r="K951" s="17" t="s">
        <v>59</v>
      </c>
    </row>
    <row r="952" spans="1:11" x14ac:dyDescent="0.25">
      <c r="A952" s="17" t="s">
        <v>1302</v>
      </c>
      <c r="B952" s="19">
        <v>46156</v>
      </c>
      <c r="C952" s="20">
        <f t="shared" si="28"/>
        <v>46143</v>
      </c>
      <c r="D952" s="17" t="s">
        <v>61</v>
      </c>
      <c r="E952" s="17" t="s">
        <v>26</v>
      </c>
      <c r="F952" s="17" t="s">
        <v>30</v>
      </c>
      <c r="G952" s="21">
        <v>2</v>
      </c>
      <c r="H952" s="12">
        <v>25.16</v>
      </c>
      <c r="I952" s="22">
        <v>0</v>
      </c>
      <c r="J952" s="12">
        <f t="shared" si="29"/>
        <v>50.32</v>
      </c>
      <c r="K952" s="17" t="s">
        <v>59</v>
      </c>
    </row>
    <row r="953" spans="1:11" x14ac:dyDescent="0.25">
      <c r="A953" s="17" t="s">
        <v>1303</v>
      </c>
      <c r="B953" s="19">
        <v>46156</v>
      </c>
      <c r="C953" s="20">
        <f t="shared" si="28"/>
        <v>46143</v>
      </c>
      <c r="D953" s="17" t="s">
        <v>293</v>
      </c>
      <c r="E953" s="17" t="s">
        <v>20</v>
      </c>
      <c r="F953" s="17" t="s">
        <v>30</v>
      </c>
      <c r="G953" s="21">
        <v>4</v>
      </c>
      <c r="H953" s="12">
        <v>90.64</v>
      </c>
      <c r="I953" s="22">
        <v>0</v>
      </c>
      <c r="J953" s="12">
        <f t="shared" si="29"/>
        <v>362.56</v>
      </c>
      <c r="K953" s="17" t="s">
        <v>59</v>
      </c>
    </row>
    <row r="954" spans="1:11" x14ac:dyDescent="0.25">
      <c r="A954" s="17" t="s">
        <v>1304</v>
      </c>
      <c r="B954" s="19">
        <v>46156</v>
      </c>
      <c r="C954" s="20">
        <f t="shared" si="28"/>
        <v>46143</v>
      </c>
      <c r="D954" s="17" t="s">
        <v>1286</v>
      </c>
      <c r="E954" s="17" t="s">
        <v>20</v>
      </c>
      <c r="F954" s="17" t="s">
        <v>30</v>
      </c>
      <c r="G954" s="21">
        <v>1</v>
      </c>
      <c r="H954" s="12">
        <v>87.29</v>
      </c>
      <c r="I954" s="22">
        <v>0.1</v>
      </c>
      <c r="J954" s="12">
        <f t="shared" si="29"/>
        <v>78.56</v>
      </c>
      <c r="K954" s="17" t="s">
        <v>43</v>
      </c>
    </row>
    <row r="955" spans="1:11" x14ac:dyDescent="0.25">
      <c r="A955" s="17" t="s">
        <v>1305</v>
      </c>
      <c r="B955" s="19">
        <v>46156</v>
      </c>
      <c r="C955" s="20">
        <f t="shared" si="28"/>
        <v>46143</v>
      </c>
      <c r="D955" s="17" t="s">
        <v>306</v>
      </c>
      <c r="E955" s="17" t="s">
        <v>20</v>
      </c>
      <c r="F955" s="17" t="s">
        <v>31</v>
      </c>
      <c r="G955" s="21">
        <v>2</v>
      </c>
      <c r="H955" s="12">
        <v>88.68</v>
      </c>
      <c r="I955" s="22">
        <v>0.15</v>
      </c>
      <c r="J955" s="12">
        <f t="shared" si="29"/>
        <v>150.76</v>
      </c>
      <c r="K955" s="17" t="s">
        <v>48</v>
      </c>
    </row>
    <row r="956" spans="1:11" x14ac:dyDescent="0.25">
      <c r="A956" s="17" t="s">
        <v>1306</v>
      </c>
      <c r="B956" s="19">
        <v>46157</v>
      </c>
      <c r="C956" s="20">
        <f t="shared" si="28"/>
        <v>46143</v>
      </c>
      <c r="D956" s="17" t="s">
        <v>197</v>
      </c>
      <c r="E956" s="17" t="s">
        <v>18</v>
      </c>
      <c r="F956" s="17" t="s">
        <v>30</v>
      </c>
      <c r="G956" s="21">
        <v>5</v>
      </c>
      <c r="H956" s="12">
        <v>146.43</v>
      </c>
      <c r="I956" s="22">
        <v>0</v>
      </c>
      <c r="J956" s="12">
        <f t="shared" si="29"/>
        <v>732.15</v>
      </c>
      <c r="K956" s="17" t="s">
        <v>59</v>
      </c>
    </row>
    <row r="957" spans="1:11" x14ac:dyDescent="0.25">
      <c r="A957" s="17" t="s">
        <v>1307</v>
      </c>
      <c r="B957" s="19">
        <v>46157</v>
      </c>
      <c r="C957" s="20">
        <f t="shared" si="28"/>
        <v>46143</v>
      </c>
      <c r="D957" s="17" t="s">
        <v>42</v>
      </c>
      <c r="E957" s="17" t="s">
        <v>22</v>
      </c>
      <c r="F957" s="17" t="s">
        <v>30</v>
      </c>
      <c r="G957" s="21">
        <v>1</v>
      </c>
      <c r="H957" s="12">
        <v>100.64</v>
      </c>
      <c r="I957" s="22">
        <v>0</v>
      </c>
      <c r="J957" s="12">
        <f t="shared" si="29"/>
        <v>100.64</v>
      </c>
      <c r="K957" s="17" t="s">
        <v>59</v>
      </c>
    </row>
    <row r="958" spans="1:11" x14ac:dyDescent="0.25">
      <c r="A958" s="17" t="s">
        <v>1308</v>
      </c>
      <c r="B958" s="19">
        <v>46157</v>
      </c>
      <c r="C958" s="20">
        <f t="shared" si="28"/>
        <v>46143</v>
      </c>
      <c r="D958" s="17" t="s">
        <v>465</v>
      </c>
      <c r="E958" s="17" t="s">
        <v>20</v>
      </c>
      <c r="F958" s="17" t="s">
        <v>30</v>
      </c>
      <c r="G958" s="21">
        <v>1</v>
      </c>
      <c r="H958" s="12">
        <v>90.36</v>
      </c>
      <c r="I958" s="22">
        <v>0</v>
      </c>
      <c r="J958" s="12">
        <f t="shared" si="29"/>
        <v>90.36</v>
      </c>
      <c r="K958" s="17" t="s">
        <v>43</v>
      </c>
    </row>
    <row r="959" spans="1:11" x14ac:dyDescent="0.25">
      <c r="A959" s="17" t="s">
        <v>1309</v>
      </c>
      <c r="B959" s="19">
        <v>46157</v>
      </c>
      <c r="C959" s="20">
        <f t="shared" si="28"/>
        <v>46143</v>
      </c>
      <c r="D959" s="17" t="s">
        <v>322</v>
      </c>
      <c r="E959" s="17" t="s">
        <v>26</v>
      </c>
      <c r="F959" s="17" t="s">
        <v>30</v>
      </c>
      <c r="G959" s="21">
        <v>2</v>
      </c>
      <c r="H959" s="12">
        <v>23.88</v>
      </c>
      <c r="I959" s="22">
        <v>0.15</v>
      </c>
      <c r="J959" s="12">
        <f t="shared" si="29"/>
        <v>40.6</v>
      </c>
      <c r="K959" s="17" t="s">
        <v>43</v>
      </c>
    </row>
    <row r="960" spans="1:11" x14ac:dyDescent="0.25">
      <c r="A960" s="17" t="s">
        <v>1310</v>
      </c>
      <c r="B960" s="19">
        <v>46158</v>
      </c>
      <c r="C960" s="20">
        <f t="shared" si="28"/>
        <v>46143</v>
      </c>
      <c r="D960" s="17" t="s">
        <v>1311</v>
      </c>
      <c r="E960" s="17" t="s">
        <v>24</v>
      </c>
      <c r="F960" s="17" t="s">
        <v>30</v>
      </c>
      <c r="G960" s="21">
        <v>1</v>
      </c>
      <c r="H960" s="12">
        <v>34.090000000000003</v>
      </c>
      <c r="I960" s="22">
        <v>0.1</v>
      </c>
      <c r="J960" s="12">
        <f t="shared" si="29"/>
        <v>30.68</v>
      </c>
      <c r="K960" s="17" t="s">
        <v>59</v>
      </c>
    </row>
    <row r="961" spans="1:11" x14ac:dyDescent="0.25">
      <c r="A961" s="17" t="s">
        <v>1312</v>
      </c>
      <c r="B961" s="19">
        <v>46158</v>
      </c>
      <c r="C961" s="20">
        <f t="shared" si="28"/>
        <v>46143</v>
      </c>
      <c r="D961" s="17" t="s">
        <v>1313</v>
      </c>
      <c r="E961" s="17" t="s">
        <v>18</v>
      </c>
      <c r="F961" s="17" t="s">
        <v>30</v>
      </c>
      <c r="G961" s="21">
        <v>5</v>
      </c>
      <c r="H961" s="12">
        <v>148.82</v>
      </c>
      <c r="I961" s="22">
        <v>0</v>
      </c>
      <c r="J961" s="12">
        <f t="shared" si="29"/>
        <v>744.1</v>
      </c>
      <c r="K961" s="17" t="s">
        <v>43</v>
      </c>
    </row>
    <row r="962" spans="1:11" x14ac:dyDescent="0.25">
      <c r="A962" s="17" t="s">
        <v>1314</v>
      </c>
      <c r="B962" s="19">
        <v>46158</v>
      </c>
      <c r="C962" s="20">
        <f t="shared" ref="C962:C1025" si="30">DATE(YEAR(B962),MONTH(B962),1)</f>
        <v>46143</v>
      </c>
      <c r="D962" s="17" t="s">
        <v>889</v>
      </c>
      <c r="E962" s="17" t="s">
        <v>17</v>
      </c>
      <c r="F962" s="17" t="s">
        <v>30</v>
      </c>
      <c r="G962" s="21">
        <v>5</v>
      </c>
      <c r="H962" s="12">
        <v>221.59</v>
      </c>
      <c r="I962" s="22">
        <v>0.15</v>
      </c>
      <c r="J962" s="12">
        <f t="shared" ref="J962:J1025" si="31">ROUND(G962*H962*(1-I962),2)</f>
        <v>941.76</v>
      </c>
      <c r="K962" s="17" t="s">
        <v>43</v>
      </c>
    </row>
    <row r="963" spans="1:11" x14ac:dyDescent="0.25">
      <c r="A963" s="17" t="s">
        <v>1315</v>
      </c>
      <c r="B963" s="19">
        <v>46158</v>
      </c>
      <c r="C963" s="20">
        <f t="shared" si="30"/>
        <v>46143</v>
      </c>
      <c r="D963" s="17" t="s">
        <v>90</v>
      </c>
      <c r="E963" s="17" t="s">
        <v>17</v>
      </c>
      <c r="F963" s="17" t="s">
        <v>31</v>
      </c>
      <c r="G963" s="21">
        <v>1</v>
      </c>
      <c r="H963" s="12">
        <v>215.68</v>
      </c>
      <c r="I963" s="22">
        <v>0.1</v>
      </c>
      <c r="J963" s="12">
        <f t="shared" si="31"/>
        <v>194.11</v>
      </c>
      <c r="K963" s="17" t="s">
        <v>48</v>
      </c>
    </row>
    <row r="964" spans="1:11" x14ac:dyDescent="0.25">
      <c r="A964" s="17" t="s">
        <v>1316</v>
      </c>
      <c r="B964" s="19">
        <v>46158</v>
      </c>
      <c r="C964" s="20">
        <f t="shared" si="30"/>
        <v>46143</v>
      </c>
      <c r="D964" s="17" t="s">
        <v>255</v>
      </c>
      <c r="E964" s="17" t="s">
        <v>24</v>
      </c>
      <c r="F964" s="17" t="s">
        <v>31</v>
      </c>
      <c r="G964" s="21">
        <v>2</v>
      </c>
      <c r="H964" s="12">
        <v>34.450000000000003</v>
      </c>
      <c r="I964" s="22">
        <v>0.1</v>
      </c>
      <c r="J964" s="12">
        <f t="shared" si="31"/>
        <v>62.01</v>
      </c>
      <c r="K964" s="17" t="s">
        <v>48</v>
      </c>
    </row>
    <row r="965" spans="1:11" x14ac:dyDescent="0.25">
      <c r="A965" s="17" t="s">
        <v>1317</v>
      </c>
      <c r="B965" s="19">
        <v>46158</v>
      </c>
      <c r="C965" s="20">
        <f t="shared" si="30"/>
        <v>46143</v>
      </c>
      <c r="D965" s="17" t="s">
        <v>268</v>
      </c>
      <c r="E965" s="17" t="s">
        <v>18</v>
      </c>
      <c r="F965" s="17" t="s">
        <v>31</v>
      </c>
      <c r="G965" s="21">
        <v>1</v>
      </c>
      <c r="H965" s="12">
        <v>152.25</v>
      </c>
      <c r="I965" s="22">
        <v>0</v>
      </c>
      <c r="J965" s="12">
        <f t="shared" si="31"/>
        <v>152.25</v>
      </c>
      <c r="K965" s="17" t="s">
        <v>48</v>
      </c>
    </row>
    <row r="966" spans="1:11" x14ac:dyDescent="0.25">
      <c r="A966" s="17" t="s">
        <v>1318</v>
      </c>
      <c r="B966" s="19">
        <v>46159</v>
      </c>
      <c r="C966" s="20">
        <f t="shared" si="30"/>
        <v>46143</v>
      </c>
      <c r="D966" s="17" t="s">
        <v>610</v>
      </c>
      <c r="E966" s="17" t="s">
        <v>19</v>
      </c>
      <c r="F966" s="17" t="s">
        <v>30</v>
      </c>
      <c r="G966" s="21">
        <v>2</v>
      </c>
      <c r="H966" s="12">
        <v>130.54</v>
      </c>
      <c r="I966" s="22">
        <v>0</v>
      </c>
      <c r="J966" s="12">
        <f t="shared" si="31"/>
        <v>261.08</v>
      </c>
      <c r="K966" s="17" t="s">
        <v>59</v>
      </c>
    </row>
    <row r="967" spans="1:11" x14ac:dyDescent="0.25">
      <c r="A967" s="17" t="s">
        <v>1319</v>
      </c>
      <c r="B967" s="19">
        <v>46159</v>
      </c>
      <c r="C967" s="20">
        <f t="shared" si="30"/>
        <v>46143</v>
      </c>
      <c r="D967" s="17" t="s">
        <v>102</v>
      </c>
      <c r="E967" s="17" t="s">
        <v>23</v>
      </c>
      <c r="F967" s="17" t="s">
        <v>30</v>
      </c>
      <c r="G967" s="21">
        <v>4</v>
      </c>
      <c r="H967" s="12">
        <v>59.54</v>
      </c>
      <c r="I967" s="22">
        <v>0</v>
      </c>
      <c r="J967" s="12">
        <f t="shared" si="31"/>
        <v>238.16</v>
      </c>
      <c r="K967" s="17" t="s">
        <v>59</v>
      </c>
    </row>
    <row r="968" spans="1:11" x14ac:dyDescent="0.25">
      <c r="A968" s="17" t="s">
        <v>1320</v>
      </c>
      <c r="B968" s="19">
        <v>46159</v>
      </c>
      <c r="C968" s="20">
        <f t="shared" si="30"/>
        <v>46143</v>
      </c>
      <c r="D968" s="17" t="s">
        <v>92</v>
      </c>
      <c r="E968" s="17" t="s">
        <v>17</v>
      </c>
      <c r="F968" s="17" t="s">
        <v>30</v>
      </c>
      <c r="G968" s="21">
        <v>1</v>
      </c>
      <c r="H968" s="12">
        <v>215.31</v>
      </c>
      <c r="I968" s="22">
        <v>0.15</v>
      </c>
      <c r="J968" s="12">
        <f t="shared" si="31"/>
        <v>183.01</v>
      </c>
      <c r="K968" s="17" t="s">
        <v>43</v>
      </c>
    </row>
    <row r="969" spans="1:11" x14ac:dyDescent="0.25">
      <c r="A969" s="17" t="s">
        <v>1321</v>
      </c>
      <c r="B969" s="19">
        <v>46159</v>
      </c>
      <c r="C969" s="20">
        <f t="shared" si="30"/>
        <v>46143</v>
      </c>
      <c r="D969" s="17" t="s">
        <v>579</v>
      </c>
      <c r="E969" s="17" t="s">
        <v>19</v>
      </c>
      <c r="F969" s="17" t="s">
        <v>30</v>
      </c>
      <c r="G969" s="21">
        <v>1</v>
      </c>
      <c r="H969" s="12">
        <v>131.49</v>
      </c>
      <c r="I969" s="22">
        <v>0.1</v>
      </c>
      <c r="J969" s="12">
        <f t="shared" si="31"/>
        <v>118.34</v>
      </c>
      <c r="K969" s="17" t="s">
        <v>43</v>
      </c>
    </row>
    <row r="970" spans="1:11" x14ac:dyDescent="0.25">
      <c r="A970" s="17" t="s">
        <v>1322</v>
      </c>
      <c r="B970" s="19">
        <v>46159</v>
      </c>
      <c r="C970" s="20">
        <f t="shared" si="30"/>
        <v>46143</v>
      </c>
      <c r="D970" s="17" t="s">
        <v>664</v>
      </c>
      <c r="E970" s="17" t="s">
        <v>22</v>
      </c>
      <c r="F970" s="17" t="s">
        <v>31</v>
      </c>
      <c r="G970" s="21">
        <v>2</v>
      </c>
      <c r="H970" s="12">
        <v>101.9</v>
      </c>
      <c r="I970" s="22">
        <v>0</v>
      </c>
      <c r="J970" s="12">
        <f t="shared" si="31"/>
        <v>203.8</v>
      </c>
      <c r="K970" s="17" t="s">
        <v>48</v>
      </c>
    </row>
    <row r="971" spans="1:11" x14ac:dyDescent="0.25">
      <c r="A971" s="17" t="s">
        <v>1323</v>
      </c>
      <c r="B971" s="19">
        <v>46159</v>
      </c>
      <c r="C971" s="20">
        <f t="shared" si="30"/>
        <v>46143</v>
      </c>
      <c r="D971" s="17" t="s">
        <v>485</v>
      </c>
      <c r="E971" s="17" t="s">
        <v>21</v>
      </c>
      <c r="F971" s="17" t="s">
        <v>31</v>
      </c>
      <c r="G971" s="21">
        <v>2</v>
      </c>
      <c r="H971" s="12">
        <v>78.12</v>
      </c>
      <c r="I971" s="22">
        <v>0.15</v>
      </c>
      <c r="J971" s="12">
        <f t="shared" si="31"/>
        <v>132.80000000000001</v>
      </c>
      <c r="K971" s="17" t="s">
        <v>48</v>
      </c>
    </row>
    <row r="972" spans="1:11" x14ac:dyDescent="0.25">
      <c r="A972" s="17" t="s">
        <v>1324</v>
      </c>
      <c r="B972" s="19">
        <v>46159</v>
      </c>
      <c r="C972" s="20">
        <f t="shared" si="30"/>
        <v>46143</v>
      </c>
      <c r="D972" s="17" t="s">
        <v>1325</v>
      </c>
      <c r="E972" s="17" t="s">
        <v>25</v>
      </c>
      <c r="F972" s="17" t="s">
        <v>31</v>
      </c>
      <c r="G972" s="21">
        <v>2</v>
      </c>
      <c r="H972" s="12">
        <v>29.84</v>
      </c>
      <c r="I972" s="22">
        <v>0.1</v>
      </c>
      <c r="J972" s="12">
        <f t="shared" si="31"/>
        <v>53.71</v>
      </c>
      <c r="K972" s="17" t="s">
        <v>48</v>
      </c>
    </row>
    <row r="973" spans="1:11" x14ac:dyDescent="0.25">
      <c r="A973" s="17" t="s">
        <v>1326</v>
      </c>
      <c r="B973" s="19">
        <v>46159</v>
      </c>
      <c r="C973" s="20">
        <f t="shared" si="30"/>
        <v>46143</v>
      </c>
      <c r="D973" s="17" t="s">
        <v>460</v>
      </c>
      <c r="E973" s="17" t="s">
        <v>24</v>
      </c>
      <c r="F973" s="17" t="s">
        <v>31</v>
      </c>
      <c r="G973" s="21">
        <v>2</v>
      </c>
      <c r="H973" s="12">
        <v>35.4</v>
      </c>
      <c r="I973" s="22">
        <v>0.15</v>
      </c>
      <c r="J973" s="12">
        <f t="shared" si="31"/>
        <v>60.18</v>
      </c>
      <c r="K973" s="17" t="s">
        <v>48</v>
      </c>
    </row>
    <row r="974" spans="1:11" x14ac:dyDescent="0.25">
      <c r="A974" s="17" t="s">
        <v>1327</v>
      </c>
      <c r="B974" s="19">
        <v>46159</v>
      </c>
      <c r="C974" s="20">
        <f t="shared" si="30"/>
        <v>46143</v>
      </c>
      <c r="D974" s="17" t="s">
        <v>557</v>
      </c>
      <c r="E974" s="17" t="s">
        <v>26</v>
      </c>
      <c r="F974" s="17" t="s">
        <v>31</v>
      </c>
      <c r="G974" s="21">
        <v>1</v>
      </c>
      <c r="H974" s="12">
        <v>23.98</v>
      </c>
      <c r="I974" s="22">
        <v>0</v>
      </c>
      <c r="J974" s="12">
        <f t="shared" si="31"/>
        <v>23.98</v>
      </c>
      <c r="K974" s="17" t="s">
        <v>48</v>
      </c>
    </row>
    <row r="975" spans="1:11" x14ac:dyDescent="0.25">
      <c r="A975" s="17" t="s">
        <v>1328</v>
      </c>
      <c r="B975" s="19">
        <v>46160</v>
      </c>
      <c r="C975" s="20">
        <f t="shared" si="30"/>
        <v>46143</v>
      </c>
      <c r="D975" s="17" t="s">
        <v>133</v>
      </c>
      <c r="E975" s="17" t="s">
        <v>27</v>
      </c>
      <c r="F975" s="17" t="s">
        <v>30</v>
      </c>
      <c r="G975" s="21">
        <v>2</v>
      </c>
      <c r="H975" s="12">
        <v>13.35</v>
      </c>
      <c r="I975" s="22">
        <v>0.15</v>
      </c>
      <c r="J975" s="12">
        <f t="shared" si="31"/>
        <v>22.7</v>
      </c>
      <c r="K975" s="17" t="s">
        <v>59</v>
      </c>
    </row>
    <row r="976" spans="1:11" x14ac:dyDescent="0.25">
      <c r="A976" s="17" t="s">
        <v>1329</v>
      </c>
      <c r="B976" s="19">
        <v>46160</v>
      </c>
      <c r="C976" s="20">
        <f t="shared" si="30"/>
        <v>46143</v>
      </c>
      <c r="D976" s="17" t="s">
        <v>146</v>
      </c>
      <c r="E976" s="17" t="s">
        <v>20</v>
      </c>
      <c r="F976" s="17" t="s">
        <v>30</v>
      </c>
      <c r="G976" s="21">
        <v>4</v>
      </c>
      <c r="H976" s="12">
        <v>89.4</v>
      </c>
      <c r="I976" s="22">
        <v>0.1</v>
      </c>
      <c r="J976" s="12">
        <f t="shared" si="31"/>
        <v>321.83999999999997</v>
      </c>
      <c r="K976" s="17" t="s">
        <v>59</v>
      </c>
    </row>
    <row r="977" spans="1:11" x14ac:dyDescent="0.25">
      <c r="A977" s="17" t="s">
        <v>1330</v>
      </c>
      <c r="B977" s="19">
        <v>46160</v>
      </c>
      <c r="C977" s="20">
        <f t="shared" si="30"/>
        <v>46143</v>
      </c>
      <c r="D977" s="17" t="s">
        <v>889</v>
      </c>
      <c r="E977" s="17" t="s">
        <v>24</v>
      </c>
      <c r="F977" s="17" t="s">
        <v>30</v>
      </c>
      <c r="G977" s="21">
        <v>4</v>
      </c>
      <c r="H977" s="12">
        <v>35.03</v>
      </c>
      <c r="I977" s="22">
        <v>0.1</v>
      </c>
      <c r="J977" s="12">
        <f t="shared" si="31"/>
        <v>126.11</v>
      </c>
      <c r="K977" s="17" t="s">
        <v>59</v>
      </c>
    </row>
    <row r="978" spans="1:11" x14ac:dyDescent="0.25">
      <c r="A978" s="17" t="s">
        <v>1331</v>
      </c>
      <c r="B978" s="19">
        <v>46160</v>
      </c>
      <c r="C978" s="20">
        <f t="shared" si="30"/>
        <v>46143</v>
      </c>
      <c r="D978" s="17" t="s">
        <v>106</v>
      </c>
      <c r="E978" s="17" t="s">
        <v>26</v>
      </c>
      <c r="F978" s="17" t="s">
        <v>30</v>
      </c>
      <c r="G978" s="21">
        <v>2</v>
      </c>
      <c r="H978" s="12">
        <v>25.09</v>
      </c>
      <c r="I978" s="22">
        <v>0</v>
      </c>
      <c r="J978" s="12">
        <f t="shared" si="31"/>
        <v>50.18</v>
      </c>
      <c r="K978" s="17" t="s">
        <v>43</v>
      </c>
    </row>
    <row r="979" spans="1:11" x14ac:dyDescent="0.25">
      <c r="A979" s="17" t="s">
        <v>1332</v>
      </c>
      <c r="B979" s="19">
        <v>46160</v>
      </c>
      <c r="C979" s="20">
        <f t="shared" si="30"/>
        <v>46143</v>
      </c>
      <c r="D979" s="17" t="s">
        <v>223</v>
      </c>
      <c r="E979" s="17" t="s">
        <v>19</v>
      </c>
      <c r="F979" s="17" t="s">
        <v>30</v>
      </c>
      <c r="G979" s="21">
        <v>2</v>
      </c>
      <c r="H979" s="12">
        <v>129.19</v>
      </c>
      <c r="I979" s="22">
        <v>0</v>
      </c>
      <c r="J979" s="12">
        <f t="shared" si="31"/>
        <v>258.38</v>
      </c>
      <c r="K979" s="17" t="s">
        <v>43</v>
      </c>
    </row>
    <row r="980" spans="1:11" x14ac:dyDescent="0.25">
      <c r="A980" s="17" t="s">
        <v>1333</v>
      </c>
      <c r="B980" s="19">
        <v>46160</v>
      </c>
      <c r="C980" s="20">
        <f t="shared" si="30"/>
        <v>46143</v>
      </c>
      <c r="D980" s="17" t="s">
        <v>1334</v>
      </c>
      <c r="E980" s="17" t="s">
        <v>25</v>
      </c>
      <c r="F980" s="17" t="s">
        <v>30</v>
      </c>
      <c r="G980" s="21">
        <v>4</v>
      </c>
      <c r="H980" s="12">
        <v>29.29</v>
      </c>
      <c r="I980" s="22">
        <v>0.15</v>
      </c>
      <c r="J980" s="12">
        <f t="shared" si="31"/>
        <v>99.59</v>
      </c>
      <c r="K980" s="17" t="s">
        <v>43</v>
      </c>
    </row>
    <row r="981" spans="1:11" x14ac:dyDescent="0.25">
      <c r="A981" s="17" t="s">
        <v>1335</v>
      </c>
      <c r="B981" s="19">
        <v>46160</v>
      </c>
      <c r="C981" s="20">
        <f t="shared" si="30"/>
        <v>46143</v>
      </c>
      <c r="D981" s="17" t="s">
        <v>157</v>
      </c>
      <c r="E981" s="17" t="s">
        <v>21</v>
      </c>
      <c r="F981" s="17" t="s">
        <v>30</v>
      </c>
      <c r="G981" s="21">
        <v>5</v>
      </c>
      <c r="H981" s="12">
        <v>78.52</v>
      </c>
      <c r="I981" s="22">
        <v>0.1</v>
      </c>
      <c r="J981" s="12">
        <f t="shared" si="31"/>
        <v>353.34</v>
      </c>
      <c r="K981" s="17" t="s">
        <v>43</v>
      </c>
    </row>
    <row r="982" spans="1:11" x14ac:dyDescent="0.25">
      <c r="A982" s="17" t="s">
        <v>1336</v>
      </c>
      <c r="B982" s="19">
        <v>46160</v>
      </c>
      <c r="C982" s="20">
        <f t="shared" si="30"/>
        <v>46143</v>
      </c>
      <c r="D982" s="17" t="s">
        <v>212</v>
      </c>
      <c r="E982" s="17" t="s">
        <v>21</v>
      </c>
      <c r="F982" s="17" t="s">
        <v>31</v>
      </c>
      <c r="G982" s="21">
        <v>1</v>
      </c>
      <c r="H982" s="12">
        <v>76.83</v>
      </c>
      <c r="I982" s="22">
        <v>0</v>
      </c>
      <c r="J982" s="12">
        <f t="shared" si="31"/>
        <v>76.83</v>
      </c>
      <c r="K982" s="17" t="s">
        <v>48</v>
      </c>
    </row>
    <row r="983" spans="1:11" x14ac:dyDescent="0.25">
      <c r="A983" s="17" t="s">
        <v>1337</v>
      </c>
      <c r="B983" s="19">
        <v>46160</v>
      </c>
      <c r="C983" s="20">
        <f t="shared" si="30"/>
        <v>46143</v>
      </c>
      <c r="D983" s="17" t="s">
        <v>880</v>
      </c>
      <c r="E983" s="17" t="s">
        <v>23</v>
      </c>
      <c r="F983" s="17" t="s">
        <v>31</v>
      </c>
      <c r="G983" s="21">
        <v>2</v>
      </c>
      <c r="H983" s="12">
        <v>60.4</v>
      </c>
      <c r="I983" s="22">
        <v>0.05</v>
      </c>
      <c r="J983" s="12">
        <f t="shared" si="31"/>
        <v>114.76</v>
      </c>
      <c r="K983" s="17" t="s">
        <v>48</v>
      </c>
    </row>
    <row r="984" spans="1:11" x14ac:dyDescent="0.25">
      <c r="A984" s="17" t="s">
        <v>1338</v>
      </c>
      <c r="B984" s="19">
        <v>46161</v>
      </c>
      <c r="C984" s="20">
        <f t="shared" si="30"/>
        <v>46143</v>
      </c>
      <c r="D984" s="17" t="s">
        <v>494</v>
      </c>
      <c r="E984" s="17" t="s">
        <v>19</v>
      </c>
      <c r="F984" s="17" t="s">
        <v>30</v>
      </c>
      <c r="G984" s="21">
        <v>2</v>
      </c>
      <c r="H984" s="12">
        <v>129.88</v>
      </c>
      <c r="I984" s="22">
        <v>0</v>
      </c>
      <c r="J984" s="12">
        <f t="shared" si="31"/>
        <v>259.76</v>
      </c>
      <c r="K984" s="17" t="s">
        <v>59</v>
      </c>
    </row>
    <row r="985" spans="1:11" x14ac:dyDescent="0.25">
      <c r="A985" s="17" t="s">
        <v>1339</v>
      </c>
      <c r="B985" s="19">
        <v>46161</v>
      </c>
      <c r="C985" s="20">
        <f t="shared" si="30"/>
        <v>46143</v>
      </c>
      <c r="D985" s="17" t="s">
        <v>204</v>
      </c>
      <c r="E985" s="17" t="s">
        <v>20</v>
      </c>
      <c r="F985" s="17" t="s">
        <v>30</v>
      </c>
      <c r="G985" s="21">
        <v>1</v>
      </c>
      <c r="H985" s="12">
        <v>89.9</v>
      </c>
      <c r="I985" s="22">
        <v>0.05</v>
      </c>
      <c r="J985" s="12">
        <f t="shared" si="31"/>
        <v>85.41</v>
      </c>
      <c r="K985" s="17" t="s">
        <v>59</v>
      </c>
    </row>
    <row r="986" spans="1:11" x14ac:dyDescent="0.25">
      <c r="A986" s="17" t="s">
        <v>1340</v>
      </c>
      <c r="B986" s="19">
        <v>46161</v>
      </c>
      <c r="C986" s="20">
        <f t="shared" si="30"/>
        <v>46143</v>
      </c>
      <c r="D986" s="17" t="s">
        <v>199</v>
      </c>
      <c r="E986" s="17" t="s">
        <v>16</v>
      </c>
      <c r="F986" s="17" t="s">
        <v>30</v>
      </c>
      <c r="G986" s="21">
        <v>1</v>
      </c>
      <c r="H986" s="12">
        <v>251.4</v>
      </c>
      <c r="I986" s="22">
        <v>0.1</v>
      </c>
      <c r="J986" s="12">
        <f t="shared" si="31"/>
        <v>226.26</v>
      </c>
      <c r="K986" s="17" t="s">
        <v>43</v>
      </c>
    </row>
    <row r="987" spans="1:11" x14ac:dyDescent="0.25">
      <c r="A987" s="17" t="s">
        <v>1341</v>
      </c>
      <c r="B987" s="19">
        <v>46161</v>
      </c>
      <c r="C987" s="20">
        <f t="shared" si="30"/>
        <v>46143</v>
      </c>
      <c r="D987" s="17" t="s">
        <v>610</v>
      </c>
      <c r="E987" s="17" t="s">
        <v>21</v>
      </c>
      <c r="F987" s="17" t="s">
        <v>30</v>
      </c>
      <c r="G987" s="21">
        <v>1</v>
      </c>
      <c r="H987" s="12">
        <v>80.599999999999994</v>
      </c>
      <c r="I987" s="22">
        <v>0.1</v>
      </c>
      <c r="J987" s="12">
        <f t="shared" si="31"/>
        <v>72.540000000000006</v>
      </c>
      <c r="K987" s="17" t="s">
        <v>43</v>
      </c>
    </row>
    <row r="988" spans="1:11" x14ac:dyDescent="0.25">
      <c r="A988" s="17" t="s">
        <v>1342</v>
      </c>
      <c r="B988" s="19">
        <v>46161</v>
      </c>
      <c r="C988" s="20">
        <f t="shared" si="30"/>
        <v>46143</v>
      </c>
      <c r="D988" s="17" t="s">
        <v>45</v>
      </c>
      <c r="E988" s="17" t="s">
        <v>16</v>
      </c>
      <c r="F988" s="17" t="s">
        <v>30</v>
      </c>
      <c r="G988" s="21">
        <v>2</v>
      </c>
      <c r="H988" s="12">
        <v>253.15</v>
      </c>
      <c r="I988" s="22">
        <v>0.05</v>
      </c>
      <c r="J988" s="12">
        <f t="shared" si="31"/>
        <v>480.99</v>
      </c>
      <c r="K988" s="17" t="s">
        <v>43</v>
      </c>
    </row>
    <row r="989" spans="1:11" x14ac:dyDescent="0.25">
      <c r="A989" s="17" t="s">
        <v>1343</v>
      </c>
      <c r="B989" s="19">
        <v>46161</v>
      </c>
      <c r="C989" s="20">
        <f t="shared" si="30"/>
        <v>46143</v>
      </c>
      <c r="D989" s="17" t="s">
        <v>506</v>
      </c>
      <c r="E989" s="17" t="s">
        <v>21</v>
      </c>
      <c r="F989" s="17" t="s">
        <v>31</v>
      </c>
      <c r="G989" s="21">
        <v>1</v>
      </c>
      <c r="H989" s="12">
        <v>78.959999999999994</v>
      </c>
      <c r="I989" s="22">
        <v>0.05</v>
      </c>
      <c r="J989" s="12">
        <f t="shared" si="31"/>
        <v>75.010000000000005</v>
      </c>
      <c r="K989" s="17" t="s">
        <v>48</v>
      </c>
    </row>
    <row r="990" spans="1:11" x14ac:dyDescent="0.25">
      <c r="A990" s="17" t="s">
        <v>1344</v>
      </c>
      <c r="B990" s="19">
        <v>46161</v>
      </c>
      <c r="C990" s="20">
        <f t="shared" si="30"/>
        <v>46143</v>
      </c>
      <c r="D990" s="17" t="s">
        <v>78</v>
      </c>
      <c r="E990" s="17" t="s">
        <v>22</v>
      </c>
      <c r="F990" s="17" t="s">
        <v>31</v>
      </c>
      <c r="G990" s="21">
        <v>3</v>
      </c>
      <c r="H990" s="12">
        <v>101.31</v>
      </c>
      <c r="I990" s="22">
        <v>0</v>
      </c>
      <c r="J990" s="12">
        <f t="shared" si="31"/>
        <v>303.93</v>
      </c>
      <c r="K990" s="17" t="s">
        <v>48</v>
      </c>
    </row>
    <row r="991" spans="1:11" x14ac:dyDescent="0.25">
      <c r="A991" s="17" t="s">
        <v>1345</v>
      </c>
      <c r="B991" s="19">
        <v>46161</v>
      </c>
      <c r="C991" s="20">
        <f t="shared" si="30"/>
        <v>46143</v>
      </c>
      <c r="D991" s="17" t="s">
        <v>555</v>
      </c>
      <c r="E991" s="17" t="s">
        <v>19</v>
      </c>
      <c r="F991" s="17" t="s">
        <v>31</v>
      </c>
      <c r="G991" s="21">
        <v>2</v>
      </c>
      <c r="H991" s="12">
        <v>128.11000000000001</v>
      </c>
      <c r="I991" s="22">
        <v>0.05</v>
      </c>
      <c r="J991" s="12">
        <f t="shared" si="31"/>
        <v>243.41</v>
      </c>
      <c r="K991" s="17" t="s">
        <v>48</v>
      </c>
    </row>
    <row r="992" spans="1:11" x14ac:dyDescent="0.25">
      <c r="A992" s="17" t="s">
        <v>1346</v>
      </c>
      <c r="B992" s="19">
        <v>46161</v>
      </c>
      <c r="C992" s="20">
        <f t="shared" si="30"/>
        <v>46143</v>
      </c>
      <c r="D992" s="17" t="s">
        <v>63</v>
      </c>
      <c r="E992" s="17" t="s">
        <v>22</v>
      </c>
      <c r="F992" s="17" t="s">
        <v>31</v>
      </c>
      <c r="G992" s="21">
        <v>2</v>
      </c>
      <c r="H992" s="12">
        <v>100.94</v>
      </c>
      <c r="I992" s="22">
        <v>0</v>
      </c>
      <c r="J992" s="12">
        <f t="shared" si="31"/>
        <v>201.88</v>
      </c>
      <c r="K992" s="17" t="s">
        <v>48</v>
      </c>
    </row>
    <row r="993" spans="1:11" x14ac:dyDescent="0.25">
      <c r="A993" s="17" t="s">
        <v>1347</v>
      </c>
      <c r="B993" s="19">
        <v>46162</v>
      </c>
      <c r="C993" s="20">
        <f t="shared" si="30"/>
        <v>46143</v>
      </c>
      <c r="D993" s="17" t="s">
        <v>1348</v>
      </c>
      <c r="E993" s="17" t="s">
        <v>18</v>
      </c>
      <c r="F993" s="17" t="s">
        <v>30</v>
      </c>
      <c r="G993" s="21">
        <v>4</v>
      </c>
      <c r="H993" s="12">
        <v>153.31</v>
      </c>
      <c r="I993" s="22">
        <v>0.15</v>
      </c>
      <c r="J993" s="12">
        <f t="shared" si="31"/>
        <v>521.25</v>
      </c>
      <c r="K993" s="17" t="s">
        <v>59</v>
      </c>
    </row>
    <row r="994" spans="1:11" x14ac:dyDescent="0.25">
      <c r="A994" s="17" t="s">
        <v>1349</v>
      </c>
      <c r="B994" s="19">
        <v>46162</v>
      </c>
      <c r="C994" s="20">
        <f t="shared" si="30"/>
        <v>46143</v>
      </c>
      <c r="D994" s="17" t="s">
        <v>133</v>
      </c>
      <c r="E994" s="17" t="s">
        <v>16</v>
      </c>
      <c r="F994" s="17" t="s">
        <v>30</v>
      </c>
      <c r="G994" s="21">
        <v>2</v>
      </c>
      <c r="H994" s="12">
        <v>251.25</v>
      </c>
      <c r="I994" s="22">
        <v>0</v>
      </c>
      <c r="J994" s="12">
        <f t="shared" si="31"/>
        <v>502.5</v>
      </c>
      <c r="K994" s="17" t="s">
        <v>59</v>
      </c>
    </row>
    <row r="995" spans="1:11" x14ac:dyDescent="0.25">
      <c r="A995" s="17" t="s">
        <v>1350</v>
      </c>
      <c r="B995" s="19">
        <v>46162</v>
      </c>
      <c r="C995" s="20">
        <f t="shared" si="30"/>
        <v>46143</v>
      </c>
      <c r="D995" s="17" t="s">
        <v>78</v>
      </c>
      <c r="E995" s="17" t="s">
        <v>17</v>
      </c>
      <c r="F995" s="17" t="s">
        <v>30</v>
      </c>
      <c r="G995" s="21">
        <v>1</v>
      </c>
      <c r="H995" s="12">
        <v>214.64</v>
      </c>
      <c r="I995" s="22">
        <v>0</v>
      </c>
      <c r="J995" s="12">
        <f t="shared" si="31"/>
        <v>214.64</v>
      </c>
      <c r="K995" s="17" t="s">
        <v>59</v>
      </c>
    </row>
    <row r="996" spans="1:11" x14ac:dyDescent="0.25">
      <c r="A996" s="17" t="s">
        <v>1351</v>
      </c>
      <c r="B996" s="19">
        <v>46162</v>
      </c>
      <c r="C996" s="20">
        <f t="shared" si="30"/>
        <v>46143</v>
      </c>
      <c r="D996" s="17" t="s">
        <v>162</v>
      </c>
      <c r="E996" s="17" t="s">
        <v>24</v>
      </c>
      <c r="F996" s="17" t="s">
        <v>30</v>
      </c>
      <c r="G996" s="21">
        <v>2</v>
      </c>
      <c r="H996" s="12">
        <v>33.99</v>
      </c>
      <c r="I996" s="22">
        <v>0.1</v>
      </c>
      <c r="J996" s="12">
        <f t="shared" si="31"/>
        <v>61.18</v>
      </c>
      <c r="K996" s="17" t="s">
        <v>43</v>
      </c>
    </row>
    <row r="997" spans="1:11" x14ac:dyDescent="0.25">
      <c r="A997" s="17" t="s">
        <v>1352</v>
      </c>
      <c r="B997" s="19">
        <v>46162</v>
      </c>
      <c r="C997" s="20">
        <f t="shared" si="30"/>
        <v>46143</v>
      </c>
      <c r="D997" s="17" t="s">
        <v>285</v>
      </c>
      <c r="E997" s="17" t="s">
        <v>17</v>
      </c>
      <c r="F997" s="17" t="s">
        <v>31</v>
      </c>
      <c r="G997" s="21">
        <v>2</v>
      </c>
      <c r="H997" s="12">
        <v>220.38</v>
      </c>
      <c r="I997" s="22">
        <v>0</v>
      </c>
      <c r="J997" s="12">
        <f t="shared" si="31"/>
        <v>440.76</v>
      </c>
      <c r="K997" s="17" t="s">
        <v>48</v>
      </c>
    </row>
    <row r="998" spans="1:11" x14ac:dyDescent="0.25">
      <c r="A998" s="17" t="s">
        <v>1353</v>
      </c>
      <c r="B998" s="19">
        <v>46162</v>
      </c>
      <c r="C998" s="20">
        <f t="shared" si="30"/>
        <v>46143</v>
      </c>
      <c r="D998" s="17" t="s">
        <v>1313</v>
      </c>
      <c r="E998" s="17" t="s">
        <v>26</v>
      </c>
      <c r="F998" s="17" t="s">
        <v>31</v>
      </c>
      <c r="G998" s="21">
        <v>1</v>
      </c>
      <c r="H998" s="12">
        <v>24.73</v>
      </c>
      <c r="I998" s="22">
        <v>0</v>
      </c>
      <c r="J998" s="12">
        <f t="shared" si="31"/>
        <v>24.73</v>
      </c>
      <c r="K998" s="17" t="s">
        <v>48</v>
      </c>
    </row>
    <row r="999" spans="1:11" x14ac:dyDescent="0.25">
      <c r="A999" s="17" t="s">
        <v>1354</v>
      </c>
      <c r="B999" s="19">
        <v>46162</v>
      </c>
      <c r="C999" s="20">
        <f t="shared" si="30"/>
        <v>46143</v>
      </c>
      <c r="D999" s="17" t="s">
        <v>436</v>
      </c>
      <c r="E999" s="17" t="s">
        <v>17</v>
      </c>
      <c r="F999" s="17" t="s">
        <v>31</v>
      </c>
      <c r="G999" s="21">
        <v>3</v>
      </c>
      <c r="H999" s="12">
        <v>219.88</v>
      </c>
      <c r="I999" s="22">
        <v>0</v>
      </c>
      <c r="J999" s="12">
        <f t="shared" si="31"/>
        <v>659.64</v>
      </c>
      <c r="K999" s="17" t="s">
        <v>48</v>
      </c>
    </row>
    <row r="1000" spans="1:11" x14ac:dyDescent="0.25">
      <c r="A1000" s="17" t="s">
        <v>1355</v>
      </c>
      <c r="B1000" s="19">
        <v>46162</v>
      </c>
      <c r="C1000" s="20">
        <f t="shared" si="30"/>
        <v>46143</v>
      </c>
      <c r="D1000" s="17" t="s">
        <v>868</v>
      </c>
      <c r="E1000" s="17" t="s">
        <v>17</v>
      </c>
      <c r="F1000" s="17" t="s">
        <v>31</v>
      </c>
      <c r="G1000" s="21">
        <v>5</v>
      </c>
      <c r="H1000" s="12">
        <v>222.6</v>
      </c>
      <c r="I1000" s="22">
        <v>0.15</v>
      </c>
      <c r="J1000" s="12">
        <f t="shared" si="31"/>
        <v>946.05</v>
      </c>
      <c r="K1000" s="17" t="s">
        <v>48</v>
      </c>
    </row>
    <row r="1001" spans="1:11" x14ac:dyDescent="0.25">
      <c r="A1001" s="17" t="s">
        <v>1356</v>
      </c>
      <c r="B1001" s="19">
        <v>46162</v>
      </c>
      <c r="C1001" s="20">
        <f t="shared" si="30"/>
        <v>46143</v>
      </c>
      <c r="D1001" s="17" t="s">
        <v>88</v>
      </c>
      <c r="E1001" s="17" t="s">
        <v>24</v>
      </c>
      <c r="F1001" s="17" t="s">
        <v>31</v>
      </c>
      <c r="G1001" s="21">
        <v>5</v>
      </c>
      <c r="H1001" s="12">
        <v>34.31</v>
      </c>
      <c r="I1001" s="22">
        <v>0</v>
      </c>
      <c r="J1001" s="12">
        <f t="shared" si="31"/>
        <v>171.55</v>
      </c>
      <c r="K1001" s="17" t="s">
        <v>48</v>
      </c>
    </row>
    <row r="1002" spans="1:11" x14ac:dyDescent="0.25">
      <c r="A1002" s="17" t="s">
        <v>1357</v>
      </c>
      <c r="B1002" s="19">
        <v>46162</v>
      </c>
      <c r="C1002" s="20">
        <f t="shared" si="30"/>
        <v>46143</v>
      </c>
      <c r="D1002" s="17" t="s">
        <v>208</v>
      </c>
      <c r="E1002" s="17" t="s">
        <v>23</v>
      </c>
      <c r="F1002" s="17" t="s">
        <v>31</v>
      </c>
      <c r="G1002" s="21">
        <v>1</v>
      </c>
      <c r="H1002" s="12">
        <v>60.02</v>
      </c>
      <c r="I1002" s="22">
        <v>0.1</v>
      </c>
      <c r="J1002" s="12">
        <f t="shared" si="31"/>
        <v>54.02</v>
      </c>
      <c r="K1002" s="17" t="s">
        <v>48</v>
      </c>
    </row>
    <row r="1003" spans="1:11" x14ac:dyDescent="0.25">
      <c r="A1003" s="17" t="s">
        <v>1358</v>
      </c>
      <c r="B1003" s="19">
        <v>46163</v>
      </c>
      <c r="C1003" s="20">
        <f t="shared" si="30"/>
        <v>46143</v>
      </c>
      <c r="D1003" s="17" t="s">
        <v>410</v>
      </c>
      <c r="E1003" s="17" t="s">
        <v>18</v>
      </c>
      <c r="F1003" s="17" t="s">
        <v>30</v>
      </c>
      <c r="G1003" s="21">
        <v>4</v>
      </c>
      <c r="H1003" s="12">
        <v>152.25</v>
      </c>
      <c r="I1003" s="22">
        <v>0</v>
      </c>
      <c r="J1003" s="12">
        <f t="shared" si="31"/>
        <v>609</v>
      </c>
      <c r="K1003" s="17" t="s">
        <v>59</v>
      </c>
    </row>
    <row r="1004" spans="1:11" x14ac:dyDescent="0.25">
      <c r="A1004" s="17" t="s">
        <v>1359</v>
      </c>
      <c r="B1004" s="19">
        <v>46163</v>
      </c>
      <c r="C1004" s="20">
        <f t="shared" si="30"/>
        <v>46143</v>
      </c>
      <c r="D1004" s="17" t="s">
        <v>194</v>
      </c>
      <c r="E1004" s="17" t="s">
        <v>20</v>
      </c>
      <c r="F1004" s="17" t="s">
        <v>30</v>
      </c>
      <c r="G1004" s="21">
        <v>1</v>
      </c>
      <c r="H1004" s="12">
        <v>86.41</v>
      </c>
      <c r="I1004" s="22">
        <v>0.15</v>
      </c>
      <c r="J1004" s="12">
        <f t="shared" si="31"/>
        <v>73.45</v>
      </c>
      <c r="K1004" s="17" t="s">
        <v>59</v>
      </c>
    </row>
    <row r="1005" spans="1:11" x14ac:dyDescent="0.25">
      <c r="A1005" s="17" t="s">
        <v>1360</v>
      </c>
      <c r="B1005" s="19">
        <v>46163</v>
      </c>
      <c r="C1005" s="20">
        <f t="shared" si="30"/>
        <v>46143</v>
      </c>
      <c r="D1005" s="17" t="s">
        <v>436</v>
      </c>
      <c r="E1005" s="17" t="s">
        <v>21</v>
      </c>
      <c r="F1005" s="17" t="s">
        <v>30</v>
      </c>
      <c r="G1005" s="21">
        <v>3</v>
      </c>
      <c r="H1005" s="12">
        <v>81.349999999999994</v>
      </c>
      <c r="I1005" s="22">
        <v>0.05</v>
      </c>
      <c r="J1005" s="12">
        <f t="shared" si="31"/>
        <v>231.85</v>
      </c>
      <c r="K1005" s="17" t="s">
        <v>59</v>
      </c>
    </row>
    <row r="1006" spans="1:11" x14ac:dyDescent="0.25">
      <c r="A1006" s="17" t="s">
        <v>1361</v>
      </c>
      <c r="B1006" s="19">
        <v>46163</v>
      </c>
      <c r="C1006" s="20">
        <f t="shared" si="30"/>
        <v>46143</v>
      </c>
      <c r="D1006" s="17" t="s">
        <v>289</v>
      </c>
      <c r="E1006" s="17" t="s">
        <v>18</v>
      </c>
      <c r="F1006" s="17" t="s">
        <v>30</v>
      </c>
      <c r="G1006" s="21">
        <v>5</v>
      </c>
      <c r="H1006" s="12">
        <v>151.53</v>
      </c>
      <c r="I1006" s="22">
        <v>0</v>
      </c>
      <c r="J1006" s="12">
        <f t="shared" si="31"/>
        <v>757.65</v>
      </c>
      <c r="K1006" s="17" t="s">
        <v>43</v>
      </c>
    </row>
    <row r="1007" spans="1:11" x14ac:dyDescent="0.25">
      <c r="A1007" s="17" t="s">
        <v>1362</v>
      </c>
      <c r="B1007" s="19">
        <v>46163</v>
      </c>
      <c r="C1007" s="20">
        <f t="shared" si="30"/>
        <v>46143</v>
      </c>
      <c r="D1007" s="17" t="s">
        <v>605</v>
      </c>
      <c r="E1007" s="17" t="s">
        <v>22</v>
      </c>
      <c r="F1007" s="17" t="s">
        <v>31</v>
      </c>
      <c r="G1007" s="21">
        <v>1</v>
      </c>
      <c r="H1007" s="12">
        <v>97.92</v>
      </c>
      <c r="I1007" s="22">
        <v>0.05</v>
      </c>
      <c r="J1007" s="12">
        <f t="shared" si="31"/>
        <v>93.02</v>
      </c>
      <c r="K1007" s="17" t="s">
        <v>48</v>
      </c>
    </row>
    <row r="1008" spans="1:11" x14ac:dyDescent="0.25">
      <c r="A1008" s="17" t="s">
        <v>1363</v>
      </c>
      <c r="B1008" s="19">
        <v>46163</v>
      </c>
      <c r="C1008" s="20">
        <f t="shared" si="30"/>
        <v>46143</v>
      </c>
      <c r="D1008" s="17" t="s">
        <v>78</v>
      </c>
      <c r="E1008" s="17" t="s">
        <v>24</v>
      </c>
      <c r="F1008" s="17" t="s">
        <v>31</v>
      </c>
      <c r="G1008" s="21">
        <v>1</v>
      </c>
      <c r="H1008" s="12">
        <v>34.630000000000003</v>
      </c>
      <c r="I1008" s="22">
        <v>0</v>
      </c>
      <c r="J1008" s="12">
        <f t="shared" si="31"/>
        <v>34.630000000000003</v>
      </c>
      <c r="K1008" s="17" t="s">
        <v>48</v>
      </c>
    </row>
    <row r="1009" spans="1:11" x14ac:dyDescent="0.25">
      <c r="A1009" s="17" t="s">
        <v>1364</v>
      </c>
      <c r="B1009" s="19">
        <v>46163</v>
      </c>
      <c r="C1009" s="20">
        <f t="shared" si="30"/>
        <v>46143</v>
      </c>
      <c r="D1009" s="17" t="s">
        <v>295</v>
      </c>
      <c r="E1009" s="17" t="s">
        <v>19</v>
      </c>
      <c r="F1009" s="17" t="s">
        <v>31</v>
      </c>
      <c r="G1009" s="21">
        <v>2</v>
      </c>
      <c r="H1009" s="12">
        <v>131.03</v>
      </c>
      <c r="I1009" s="22">
        <v>0</v>
      </c>
      <c r="J1009" s="12">
        <f t="shared" si="31"/>
        <v>262.06</v>
      </c>
      <c r="K1009" s="17" t="s">
        <v>48</v>
      </c>
    </row>
    <row r="1010" spans="1:11" x14ac:dyDescent="0.25">
      <c r="A1010" s="17" t="s">
        <v>1365</v>
      </c>
      <c r="B1010" s="19">
        <v>46164</v>
      </c>
      <c r="C1010" s="20">
        <f t="shared" si="30"/>
        <v>46143</v>
      </c>
      <c r="D1010" s="17" t="s">
        <v>47</v>
      </c>
      <c r="E1010" s="17" t="s">
        <v>18</v>
      </c>
      <c r="F1010" s="17" t="s">
        <v>30</v>
      </c>
      <c r="G1010" s="21">
        <v>1</v>
      </c>
      <c r="H1010" s="12">
        <v>148.09</v>
      </c>
      <c r="I1010" s="22">
        <v>0</v>
      </c>
      <c r="J1010" s="12">
        <f t="shared" si="31"/>
        <v>148.09</v>
      </c>
      <c r="K1010" s="17" t="s">
        <v>59</v>
      </c>
    </row>
    <row r="1011" spans="1:11" x14ac:dyDescent="0.25">
      <c r="A1011" s="17" t="s">
        <v>1366</v>
      </c>
      <c r="B1011" s="19">
        <v>46164</v>
      </c>
      <c r="C1011" s="20">
        <f t="shared" si="30"/>
        <v>46143</v>
      </c>
      <c r="D1011" s="17" t="s">
        <v>78</v>
      </c>
      <c r="E1011" s="17" t="s">
        <v>27</v>
      </c>
      <c r="F1011" s="17" t="s">
        <v>30</v>
      </c>
      <c r="G1011" s="21">
        <v>2</v>
      </c>
      <c r="H1011" s="12">
        <v>13.21</v>
      </c>
      <c r="I1011" s="22">
        <v>0.15</v>
      </c>
      <c r="J1011" s="12">
        <f t="shared" si="31"/>
        <v>22.46</v>
      </c>
      <c r="K1011" s="17" t="s">
        <v>59</v>
      </c>
    </row>
    <row r="1012" spans="1:11" x14ac:dyDescent="0.25">
      <c r="A1012" s="17" t="s">
        <v>1367</v>
      </c>
      <c r="B1012" s="19">
        <v>46164</v>
      </c>
      <c r="C1012" s="20">
        <f t="shared" si="30"/>
        <v>46143</v>
      </c>
      <c r="D1012" s="17" t="s">
        <v>56</v>
      </c>
      <c r="E1012" s="17" t="s">
        <v>19</v>
      </c>
      <c r="F1012" s="17" t="s">
        <v>30</v>
      </c>
      <c r="G1012" s="21">
        <v>3</v>
      </c>
      <c r="H1012" s="12">
        <v>128.34</v>
      </c>
      <c r="I1012" s="22">
        <v>0.1</v>
      </c>
      <c r="J1012" s="12">
        <f t="shared" si="31"/>
        <v>346.52</v>
      </c>
      <c r="K1012" s="17" t="s">
        <v>43</v>
      </c>
    </row>
    <row r="1013" spans="1:11" x14ac:dyDescent="0.25">
      <c r="A1013" s="17" t="s">
        <v>1368</v>
      </c>
      <c r="B1013" s="19">
        <v>46164</v>
      </c>
      <c r="C1013" s="20">
        <f t="shared" si="30"/>
        <v>46143</v>
      </c>
      <c r="D1013" s="17" t="s">
        <v>841</v>
      </c>
      <c r="E1013" s="17" t="s">
        <v>17</v>
      </c>
      <c r="F1013" s="17" t="s">
        <v>30</v>
      </c>
      <c r="G1013" s="21">
        <v>3</v>
      </c>
      <c r="H1013" s="12">
        <v>216.82</v>
      </c>
      <c r="I1013" s="22">
        <v>0</v>
      </c>
      <c r="J1013" s="12">
        <f t="shared" si="31"/>
        <v>650.46</v>
      </c>
      <c r="K1013" s="17" t="s">
        <v>43</v>
      </c>
    </row>
    <row r="1014" spans="1:11" x14ac:dyDescent="0.25">
      <c r="A1014" s="17" t="s">
        <v>1369</v>
      </c>
      <c r="B1014" s="19">
        <v>46164</v>
      </c>
      <c r="C1014" s="20">
        <f t="shared" si="30"/>
        <v>46143</v>
      </c>
      <c r="D1014" s="17" t="s">
        <v>194</v>
      </c>
      <c r="E1014" s="17" t="s">
        <v>21</v>
      </c>
      <c r="F1014" s="17" t="s">
        <v>30</v>
      </c>
      <c r="G1014" s="21">
        <v>3</v>
      </c>
      <c r="H1014" s="12">
        <v>77.67</v>
      </c>
      <c r="I1014" s="22">
        <v>0.05</v>
      </c>
      <c r="J1014" s="12">
        <f t="shared" si="31"/>
        <v>221.36</v>
      </c>
      <c r="K1014" s="17" t="s">
        <v>43</v>
      </c>
    </row>
    <row r="1015" spans="1:11" x14ac:dyDescent="0.25">
      <c r="A1015" s="17" t="s">
        <v>1370</v>
      </c>
      <c r="B1015" s="19">
        <v>46164</v>
      </c>
      <c r="C1015" s="20">
        <f t="shared" si="30"/>
        <v>46143</v>
      </c>
      <c r="D1015" s="17" t="s">
        <v>677</v>
      </c>
      <c r="E1015" s="17" t="s">
        <v>23</v>
      </c>
      <c r="F1015" s="17" t="s">
        <v>31</v>
      </c>
      <c r="G1015" s="21">
        <v>3</v>
      </c>
      <c r="H1015" s="12">
        <v>58.13</v>
      </c>
      <c r="I1015" s="22">
        <v>0</v>
      </c>
      <c r="J1015" s="12">
        <f t="shared" si="31"/>
        <v>174.39</v>
      </c>
      <c r="K1015" s="17" t="s">
        <v>48</v>
      </c>
    </row>
    <row r="1016" spans="1:11" x14ac:dyDescent="0.25">
      <c r="A1016" s="17" t="s">
        <v>1371</v>
      </c>
      <c r="B1016" s="19">
        <v>46164</v>
      </c>
      <c r="C1016" s="20">
        <f t="shared" si="30"/>
        <v>46143</v>
      </c>
      <c r="D1016" s="17" t="s">
        <v>73</v>
      </c>
      <c r="E1016" s="17" t="s">
        <v>16</v>
      </c>
      <c r="F1016" s="17" t="s">
        <v>31</v>
      </c>
      <c r="G1016" s="21">
        <v>2</v>
      </c>
      <c r="H1016" s="12">
        <v>246.05</v>
      </c>
      <c r="I1016" s="22">
        <v>0</v>
      </c>
      <c r="J1016" s="12">
        <f t="shared" si="31"/>
        <v>492.1</v>
      </c>
      <c r="K1016" s="17" t="s">
        <v>48</v>
      </c>
    </row>
    <row r="1017" spans="1:11" x14ac:dyDescent="0.25">
      <c r="A1017" s="17" t="s">
        <v>1372</v>
      </c>
      <c r="B1017" s="19">
        <v>46164</v>
      </c>
      <c r="C1017" s="20">
        <f t="shared" si="30"/>
        <v>46143</v>
      </c>
      <c r="D1017" s="17" t="s">
        <v>1069</v>
      </c>
      <c r="E1017" s="17" t="s">
        <v>24</v>
      </c>
      <c r="F1017" s="17" t="s">
        <v>31</v>
      </c>
      <c r="G1017" s="21">
        <v>4</v>
      </c>
      <c r="H1017" s="12">
        <v>35.86</v>
      </c>
      <c r="I1017" s="22">
        <v>0.1</v>
      </c>
      <c r="J1017" s="12">
        <f t="shared" si="31"/>
        <v>129.1</v>
      </c>
      <c r="K1017" s="17" t="s">
        <v>48</v>
      </c>
    </row>
    <row r="1018" spans="1:11" x14ac:dyDescent="0.25">
      <c r="A1018" s="17" t="s">
        <v>1373</v>
      </c>
      <c r="B1018" s="19">
        <v>46165</v>
      </c>
      <c r="C1018" s="20">
        <f t="shared" si="30"/>
        <v>46143</v>
      </c>
      <c r="D1018" s="17" t="s">
        <v>483</v>
      </c>
      <c r="E1018" s="17" t="s">
        <v>19</v>
      </c>
      <c r="F1018" s="17" t="s">
        <v>30</v>
      </c>
      <c r="G1018" s="21">
        <v>1</v>
      </c>
      <c r="H1018" s="12">
        <v>127.05</v>
      </c>
      <c r="I1018" s="22">
        <v>0</v>
      </c>
      <c r="J1018" s="12">
        <f t="shared" si="31"/>
        <v>127.05</v>
      </c>
      <c r="K1018" s="17" t="s">
        <v>59</v>
      </c>
    </row>
    <row r="1019" spans="1:11" x14ac:dyDescent="0.25">
      <c r="A1019" s="17" t="s">
        <v>1374</v>
      </c>
      <c r="B1019" s="19">
        <v>46165</v>
      </c>
      <c r="C1019" s="20">
        <f t="shared" si="30"/>
        <v>46143</v>
      </c>
      <c r="D1019" s="17" t="s">
        <v>868</v>
      </c>
      <c r="E1019" s="17" t="s">
        <v>21</v>
      </c>
      <c r="F1019" s="17" t="s">
        <v>30</v>
      </c>
      <c r="G1019" s="21">
        <v>2</v>
      </c>
      <c r="H1019" s="12">
        <v>81.34</v>
      </c>
      <c r="I1019" s="22">
        <v>0.15</v>
      </c>
      <c r="J1019" s="12">
        <f t="shared" si="31"/>
        <v>138.28</v>
      </c>
      <c r="K1019" s="17" t="s">
        <v>59</v>
      </c>
    </row>
    <row r="1020" spans="1:11" x14ac:dyDescent="0.25">
      <c r="A1020" s="17" t="s">
        <v>1375</v>
      </c>
      <c r="B1020" s="19">
        <v>46165</v>
      </c>
      <c r="C1020" s="20">
        <f t="shared" si="30"/>
        <v>46143</v>
      </c>
      <c r="D1020" s="17" t="s">
        <v>643</v>
      </c>
      <c r="E1020" s="17" t="s">
        <v>23</v>
      </c>
      <c r="F1020" s="17" t="s">
        <v>30</v>
      </c>
      <c r="G1020" s="21">
        <v>2</v>
      </c>
      <c r="H1020" s="12">
        <v>58.24</v>
      </c>
      <c r="I1020" s="22">
        <v>0</v>
      </c>
      <c r="J1020" s="12">
        <f t="shared" si="31"/>
        <v>116.48</v>
      </c>
      <c r="K1020" s="17" t="s">
        <v>59</v>
      </c>
    </row>
    <row r="1021" spans="1:11" x14ac:dyDescent="0.25">
      <c r="A1021" s="17" t="s">
        <v>1376</v>
      </c>
      <c r="B1021" s="19">
        <v>46165</v>
      </c>
      <c r="C1021" s="20">
        <f t="shared" si="30"/>
        <v>46143</v>
      </c>
      <c r="D1021" s="17" t="s">
        <v>78</v>
      </c>
      <c r="E1021" s="17" t="s">
        <v>26</v>
      </c>
      <c r="F1021" s="17" t="s">
        <v>30</v>
      </c>
      <c r="G1021" s="21">
        <v>1</v>
      </c>
      <c r="H1021" s="12">
        <v>24.21</v>
      </c>
      <c r="I1021" s="22">
        <v>0</v>
      </c>
      <c r="J1021" s="12">
        <f t="shared" si="31"/>
        <v>24.21</v>
      </c>
      <c r="K1021" s="17" t="s">
        <v>43</v>
      </c>
    </row>
    <row r="1022" spans="1:11" x14ac:dyDescent="0.25">
      <c r="A1022" s="17" t="s">
        <v>1377</v>
      </c>
      <c r="B1022" s="19">
        <v>46165</v>
      </c>
      <c r="C1022" s="20">
        <f t="shared" si="30"/>
        <v>46143</v>
      </c>
      <c r="D1022" s="17" t="s">
        <v>868</v>
      </c>
      <c r="E1022" s="17" t="s">
        <v>17</v>
      </c>
      <c r="F1022" s="17" t="s">
        <v>31</v>
      </c>
      <c r="G1022" s="21">
        <v>1</v>
      </c>
      <c r="H1022" s="12">
        <v>221.43</v>
      </c>
      <c r="I1022" s="22">
        <v>0.05</v>
      </c>
      <c r="J1022" s="12">
        <f t="shared" si="31"/>
        <v>210.36</v>
      </c>
      <c r="K1022" s="17" t="s">
        <v>48</v>
      </c>
    </row>
    <row r="1023" spans="1:11" x14ac:dyDescent="0.25">
      <c r="A1023" s="17" t="s">
        <v>1378</v>
      </c>
      <c r="B1023" s="19">
        <v>46165</v>
      </c>
      <c r="C1023" s="20">
        <f t="shared" si="30"/>
        <v>46143</v>
      </c>
      <c r="D1023" s="17" t="s">
        <v>369</v>
      </c>
      <c r="E1023" s="17" t="s">
        <v>19</v>
      </c>
      <c r="F1023" s="17" t="s">
        <v>31</v>
      </c>
      <c r="G1023" s="21">
        <v>2</v>
      </c>
      <c r="H1023" s="12">
        <v>126.2</v>
      </c>
      <c r="I1023" s="22">
        <v>0</v>
      </c>
      <c r="J1023" s="12">
        <f t="shared" si="31"/>
        <v>252.4</v>
      </c>
      <c r="K1023" s="17" t="s">
        <v>48</v>
      </c>
    </row>
    <row r="1024" spans="1:11" x14ac:dyDescent="0.25">
      <c r="A1024" s="17" t="s">
        <v>1379</v>
      </c>
      <c r="B1024" s="19">
        <v>46165</v>
      </c>
      <c r="C1024" s="20">
        <f t="shared" si="30"/>
        <v>46143</v>
      </c>
      <c r="D1024" s="17" t="s">
        <v>605</v>
      </c>
      <c r="E1024" s="17" t="s">
        <v>25</v>
      </c>
      <c r="F1024" s="17" t="s">
        <v>31</v>
      </c>
      <c r="G1024" s="21">
        <v>1</v>
      </c>
      <c r="H1024" s="12">
        <v>29.68</v>
      </c>
      <c r="I1024" s="22">
        <v>0.15</v>
      </c>
      <c r="J1024" s="12">
        <f t="shared" si="31"/>
        <v>25.23</v>
      </c>
      <c r="K1024" s="17" t="s">
        <v>48</v>
      </c>
    </row>
    <row r="1025" spans="1:11" x14ac:dyDescent="0.25">
      <c r="A1025" s="17" t="s">
        <v>1380</v>
      </c>
      <c r="B1025" s="19">
        <v>46166</v>
      </c>
      <c r="C1025" s="20">
        <f t="shared" si="30"/>
        <v>46143</v>
      </c>
      <c r="D1025" s="17" t="s">
        <v>419</v>
      </c>
      <c r="E1025" s="17" t="s">
        <v>24</v>
      </c>
      <c r="F1025" s="17" t="s">
        <v>30</v>
      </c>
      <c r="G1025" s="21">
        <v>2</v>
      </c>
      <c r="H1025" s="12">
        <v>34.72</v>
      </c>
      <c r="I1025" s="22">
        <v>0.1</v>
      </c>
      <c r="J1025" s="12">
        <f t="shared" si="31"/>
        <v>62.5</v>
      </c>
      <c r="K1025" s="17" t="s">
        <v>59</v>
      </c>
    </row>
    <row r="1026" spans="1:11" x14ac:dyDescent="0.25">
      <c r="A1026" s="17" t="s">
        <v>1381</v>
      </c>
      <c r="B1026" s="19">
        <v>46166</v>
      </c>
      <c r="C1026" s="20">
        <f t="shared" ref="C1026:C1089" si="32">DATE(YEAR(B1026),MONTH(B1026),1)</f>
        <v>46143</v>
      </c>
      <c r="D1026" s="17" t="s">
        <v>369</v>
      </c>
      <c r="E1026" s="17" t="s">
        <v>25</v>
      </c>
      <c r="F1026" s="17" t="s">
        <v>30</v>
      </c>
      <c r="G1026" s="21">
        <v>5</v>
      </c>
      <c r="H1026" s="12">
        <v>29.54</v>
      </c>
      <c r="I1026" s="22">
        <v>0</v>
      </c>
      <c r="J1026" s="12">
        <f t="shared" ref="J1026:J1089" si="33">ROUND(G1026*H1026*(1-I1026),2)</f>
        <v>147.69999999999999</v>
      </c>
      <c r="K1026" s="17" t="s">
        <v>59</v>
      </c>
    </row>
    <row r="1027" spans="1:11" x14ac:dyDescent="0.25">
      <c r="A1027" s="17" t="s">
        <v>1382</v>
      </c>
      <c r="B1027" s="19">
        <v>46166</v>
      </c>
      <c r="C1027" s="20">
        <f t="shared" si="32"/>
        <v>46143</v>
      </c>
      <c r="D1027" s="17" t="s">
        <v>1141</v>
      </c>
      <c r="E1027" s="17" t="s">
        <v>26</v>
      </c>
      <c r="F1027" s="17" t="s">
        <v>30</v>
      </c>
      <c r="G1027" s="21">
        <v>2</v>
      </c>
      <c r="H1027" s="12">
        <v>24.05</v>
      </c>
      <c r="I1027" s="22">
        <v>0.15</v>
      </c>
      <c r="J1027" s="12">
        <f t="shared" si="33"/>
        <v>40.89</v>
      </c>
      <c r="K1027" s="17" t="s">
        <v>59</v>
      </c>
    </row>
    <row r="1028" spans="1:11" x14ac:dyDescent="0.25">
      <c r="A1028" s="17" t="s">
        <v>1383</v>
      </c>
      <c r="B1028" s="19">
        <v>46166</v>
      </c>
      <c r="C1028" s="20">
        <f t="shared" si="32"/>
        <v>46143</v>
      </c>
      <c r="D1028" s="17" t="s">
        <v>1244</v>
      </c>
      <c r="E1028" s="17" t="s">
        <v>16</v>
      </c>
      <c r="F1028" s="17" t="s">
        <v>30</v>
      </c>
      <c r="G1028" s="21">
        <v>1</v>
      </c>
      <c r="H1028" s="12">
        <v>256.01</v>
      </c>
      <c r="I1028" s="22">
        <v>0.15</v>
      </c>
      <c r="J1028" s="12">
        <f t="shared" si="33"/>
        <v>217.61</v>
      </c>
      <c r="K1028" s="17" t="s">
        <v>59</v>
      </c>
    </row>
    <row r="1029" spans="1:11" x14ac:dyDescent="0.25">
      <c r="A1029" s="17" t="s">
        <v>1384</v>
      </c>
      <c r="B1029" s="19">
        <v>46166</v>
      </c>
      <c r="C1029" s="20">
        <f t="shared" si="32"/>
        <v>46143</v>
      </c>
      <c r="D1029" s="17" t="s">
        <v>78</v>
      </c>
      <c r="E1029" s="17" t="s">
        <v>24</v>
      </c>
      <c r="F1029" s="17" t="s">
        <v>30</v>
      </c>
      <c r="G1029" s="21">
        <v>3</v>
      </c>
      <c r="H1029" s="12">
        <v>34.880000000000003</v>
      </c>
      <c r="I1029" s="22">
        <v>0</v>
      </c>
      <c r="J1029" s="12">
        <f t="shared" si="33"/>
        <v>104.64</v>
      </c>
      <c r="K1029" s="17" t="s">
        <v>43</v>
      </c>
    </row>
    <row r="1030" spans="1:11" x14ac:dyDescent="0.25">
      <c r="A1030" s="17" t="s">
        <v>1385</v>
      </c>
      <c r="B1030" s="19">
        <v>46166</v>
      </c>
      <c r="C1030" s="20">
        <f t="shared" si="32"/>
        <v>46143</v>
      </c>
      <c r="D1030" s="17" t="s">
        <v>790</v>
      </c>
      <c r="E1030" s="17" t="s">
        <v>26</v>
      </c>
      <c r="F1030" s="17" t="s">
        <v>30</v>
      </c>
      <c r="G1030" s="21">
        <v>3</v>
      </c>
      <c r="H1030" s="12">
        <v>24.46</v>
      </c>
      <c r="I1030" s="22">
        <v>0.05</v>
      </c>
      <c r="J1030" s="12">
        <f t="shared" si="33"/>
        <v>69.709999999999994</v>
      </c>
      <c r="K1030" s="17" t="s">
        <v>43</v>
      </c>
    </row>
    <row r="1031" spans="1:11" x14ac:dyDescent="0.25">
      <c r="A1031" s="17" t="s">
        <v>1386</v>
      </c>
      <c r="B1031" s="19">
        <v>46166</v>
      </c>
      <c r="C1031" s="20">
        <f t="shared" si="32"/>
        <v>46143</v>
      </c>
      <c r="D1031" s="17" t="s">
        <v>301</v>
      </c>
      <c r="E1031" s="17" t="s">
        <v>16</v>
      </c>
      <c r="F1031" s="17" t="s">
        <v>31</v>
      </c>
      <c r="G1031" s="21">
        <v>2</v>
      </c>
      <c r="H1031" s="12">
        <v>246.18</v>
      </c>
      <c r="I1031" s="22">
        <v>0</v>
      </c>
      <c r="J1031" s="12">
        <f t="shared" si="33"/>
        <v>492.36</v>
      </c>
      <c r="K1031" s="17" t="s">
        <v>48</v>
      </c>
    </row>
    <row r="1032" spans="1:11" x14ac:dyDescent="0.25">
      <c r="A1032" s="17" t="s">
        <v>1387</v>
      </c>
      <c r="B1032" s="19">
        <v>46166</v>
      </c>
      <c r="C1032" s="20">
        <f t="shared" si="32"/>
        <v>46143</v>
      </c>
      <c r="D1032" s="17" t="s">
        <v>1106</v>
      </c>
      <c r="E1032" s="17" t="s">
        <v>22</v>
      </c>
      <c r="F1032" s="17" t="s">
        <v>31</v>
      </c>
      <c r="G1032" s="21">
        <v>1</v>
      </c>
      <c r="H1032" s="12">
        <v>99.7</v>
      </c>
      <c r="I1032" s="22">
        <v>0.15</v>
      </c>
      <c r="J1032" s="12">
        <f t="shared" si="33"/>
        <v>84.75</v>
      </c>
      <c r="K1032" s="17" t="s">
        <v>48</v>
      </c>
    </row>
    <row r="1033" spans="1:11" x14ac:dyDescent="0.25">
      <c r="A1033" s="17" t="s">
        <v>1388</v>
      </c>
      <c r="B1033" s="19">
        <v>46166</v>
      </c>
      <c r="C1033" s="20">
        <f t="shared" si="32"/>
        <v>46143</v>
      </c>
      <c r="D1033" s="17" t="s">
        <v>219</v>
      </c>
      <c r="E1033" s="17" t="s">
        <v>17</v>
      </c>
      <c r="F1033" s="17" t="s">
        <v>31</v>
      </c>
      <c r="G1033" s="21">
        <v>2</v>
      </c>
      <c r="H1033" s="12">
        <v>220.49</v>
      </c>
      <c r="I1033" s="22">
        <v>0.1</v>
      </c>
      <c r="J1033" s="12">
        <f t="shared" si="33"/>
        <v>396.88</v>
      </c>
      <c r="K1033" s="17" t="s">
        <v>48</v>
      </c>
    </row>
    <row r="1034" spans="1:11" x14ac:dyDescent="0.25">
      <c r="A1034" s="17" t="s">
        <v>1389</v>
      </c>
      <c r="B1034" s="19">
        <v>46167</v>
      </c>
      <c r="C1034" s="20">
        <f t="shared" si="32"/>
        <v>46143</v>
      </c>
      <c r="D1034" s="17" t="s">
        <v>90</v>
      </c>
      <c r="E1034" s="17" t="s">
        <v>26</v>
      </c>
      <c r="F1034" s="17" t="s">
        <v>30</v>
      </c>
      <c r="G1034" s="21">
        <v>3</v>
      </c>
      <c r="H1034" s="12">
        <v>24.7</v>
      </c>
      <c r="I1034" s="22">
        <v>0</v>
      </c>
      <c r="J1034" s="12">
        <f t="shared" si="33"/>
        <v>74.099999999999994</v>
      </c>
      <c r="K1034" s="17" t="s">
        <v>59</v>
      </c>
    </row>
    <row r="1035" spans="1:11" x14ac:dyDescent="0.25">
      <c r="A1035" s="17" t="s">
        <v>1390</v>
      </c>
      <c r="B1035" s="19">
        <v>46167</v>
      </c>
      <c r="C1035" s="20">
        <f t="shared" si="32"/>
        <v>46143</v>
      </c>
      <c r="D1035" s="17" t="s">
        <v>310</v>
      </c>
      <c r="E1035" s="17" t="s">
        <v>18</v>
      </c>
      <c r="F1035" s="17" t="s">
        <v>30</v>
      </c>
      <c r="G1035" s="21">
        <v>1</v>
      </c>
      <c r="H1035" s="12">
        <v>151.9</v>
      </c>
      <c r="I1035" s="22">
        <v>0.05</v>
      </c>
      <c r="J1035" s="12">
        <f t="shared" si="33"/>
        <v>144.31</v>
      </c>
      <c r="K1035" s="17" t="s">
        <v>59</v>
      </c>
    </row>
    <row r="1036" spans="1:11" x14ac:dyDescent="0.25">
      <c r="A1036" s="17" t="s">
        <v>1391</v>
      </c>
      <c r="B1036" s="19">
        <v>46167</v>
      </c>
      <c r="C1036" s="20">
        <f t="shared" si="32"/>
        <v>46143</v>
      </c>
      <c r="D1036" s="17" t="s">
        <v>73</v>
      </c>
      <c r="E1036" s="17" t="s">
        <v>22</v>
      </c>
      <c r="F1036" s="17" t="s">
        <v>30</v>
      </c>
      <c r="G1036" s="21">
        <v>1</v>
      </c>
      <c r="H1036" s="12">
        <v>99.29</v>
      </c>
      <c r="I1036" s="22">
        <v>0</v>
      </c>
      <c r="J1036" s="12">
        <f t="shared" si="33"/>
        <v>99.29</v>
      </c>
      <c r="K1036" s="17" t="s">
        <v>59</v>
      </c>
    </row>
    <row r="1037" spans="1:11" x14ac:dyDescent="0.25">
      <c r="A1037" s="17" t="s">
        <v>1392</v>
      </c>
      <c r="B1037" s="19">
        <v>46167</v>
      </c>
      <c r="C1037" s="20">
        <f t="shared" si="32"/>
        <v>46143</v>
      </c>
      <c r="D1037" s="17" t="s">
        <v>61</v>
      </c>
      <c r="E1037" s="17" t="s">
        <v>18</v>
      </c>
      <c r="F1037" s="17" t="s">
        <v>31</v>
      </c>
      <c r="G1037" s="21">
        <v>5</v>
      </c>
      <c r="H1037" s="12">
        <v>152.41999999999999</v>
      </c>
      <c r="I1037" s="22">
        <v>0.15</v>
      </c>
      <c r="J1037" s="12">
        <f t="shared" si="33"/>
        <v>647.79</v>
      </c>
      <c r="K1037" s="17" t="s">
        <v>48</v>
      </c>
    </row>
    <row r="1038" spans="1:11" x14ac:dyDescent="0.25">
      <c r="A1038" s="17" t="s">
        <v>1393</v>
      </c>
      <c r="B1038" s="19">
        <v>46167</v>
      </c>
      <c r="C1038" s="20">
        <f t="shared" si="32"/>
        <v>46143</v>
      </c>
      <c r="D1038" s="17" t="s">
        <v>65</v>
      </c>
      <c r="E1038" s="17" t="s">
        <v>17</v>
      </c>
      <c r="F1038" s="17" t="s">
        <v>31</v>
      </c>
      <c r="G1038" s="21">
        <v>2</v>
      </c>
      <c r="H1038" s="12">
        <v>215.85</v>
      </c>
      <c r="I1038" s="22">
        <v>0.1</v>
      </c>
      <c r="J1038" s="12">
        <f t="shared" si="33"/>
        <v>388.53</v>
      </c>
      <c r="K1038" s="17" t="s">
        <v>48</v>
      </c>
    </row>
    <row r="1039" spans="1:11" x14ac:dyDescent="0.25">
      <c r="A1039" s="17" t="s">
        <v>1394</v>
      </c>
      <c r="B1039" s="19">
        <v>46168</v>
      </c>
      <c r="C1039" s="20">
        <f t="shared" si="32"/>
        <v>46143</v>
      </c>
      <c r="D1039" s="17" t="s">
        <v>206</v>
      </c>
      <c r="E1039" s="17" t="s">
        <v>24</v>
      </c>
      <c r="F1039" s="17" t="s">
        <v>30</v>
      </c>
      <c r="G1039" s="21">
        <v>2</v>
      </c>
      <c r="H1039" s="12">
        <v>34.07</v>
      </c>
      <c r="I1039" s="22">
        <v>0.15</v>
      </c>
      <c r="J1039" s="12">
        <f t="shared" si="33"/>
        <v>57.92</v>
      </c>
      <c r="K1039" s="17" t="s">
        <v>59</v>
      </c>
    </row>
    <row r="1040" spans="1:11" x14ac:dyDescent="0.25">
      <c r="A1040" s="17" t="s">
        <v>1395</v>
      </c>
      <c r="B1040" s="19">
        <v>46168</v>
      </c>
      <c r="C1040" s="20">
        <f t="shared" si="32"/>
        <v>46143</v>
      </c>
      <c r="D1040" s="17" t="s">
        <v>78</v>
      </c>
      <c r="E1040" s="17" t="s">
        <v>25</v>
      </c>
      <c r="F1040" s="17" t="s">
        <v>30</v>
      </c>
      <c r="G1040" s="21">
        <v>1</v>
      </c>
      <c r="H1040" s="12">
        <v>30.05</v>
      </c>
      <c r="I1040" s="22">
        <v>0.05</v>
      </c>
      <c r="J1040" s="12">
        <f t="shared" si="33"/>
        <v>28.55</v>
      </c>
      <c r="K1040" s="17" t="s">
        <v>43</v>
      </c>
    </row>
    <row r="1041" spans="1:11" x14ac:dyDescent="0.25">
      <c r="A1041" s="17" t="s">
        <v>1396</v>
      </c>
      <c r="B1041" s="19">
        <v>46168</v>
      </c>
      <c r="C1041" s="20">
        <f t="shared" si="32"/>
        <v>46143</v>
      </c>
      <c r="D1041" s="17" t="s">
        <v>86</v>
      </c>
      <c r="E1041" s="17" t="s">
        <v>19</v>
      </c>
      <c r="F1041" s="17" t="s">
        <v>30</v>
      </c>
      <c r="G1041" s="21">
        <v>5</v>
      </c>
      <c r="H1041" s="12">
        <v>130.88</v>
      </c>
      <c r="I1041" s="22">
        <v>0</v>
      </c>
      <c r="J1041" s="12">
        <f t="shared" si="33"/>
        <v>654.4</v>
      </c>
      <c r="K1041" s="17" t="s">
        <v>43</v>
      </c>
    </row>
    <row r="1042" spans="1:11" x14ac:dyDescent="0.25">
      <c r="A1042" s="17" t="s">
        <v>1397</v>
      </c>
      <c r="B1042" s="19">
        <v>46168</v>
      </c>
      <c r="C1042" s="20">
        <f t="shared" si="32"/>
        <v>46143</v>
      </c>
      <c r="D1042" s="17" t="s">
        <v>324</v>
      </c>
      <c r="E1042" s="17" t="s">
        <v>17</v>
      </c>
      <c r="F1042" s="17" t="s">
        <v>30</v>
      </c>
      <c r="G1042" s="21">
        <v>4</v>
      </c>
      <c r="H1042" s="12">
        <v>219.82</v>
      </c>
      <c r="I1042" s="22">
        <v>0.1</v>
      </c>
      <c r="J1042" s="12">
        <f t="shared" si="33"/>
        <v>791.35</v>
      </c>
      <c r="K1042" s="17" t="s">
        <v>43</v>
      </c>
    </row>
    <row r="1043" spans="1:11" x14ac:dyDescent="0.25">
      <c r="A1043" s="17" t="s">
        <v>1398</v>
      </c>
      <c r="B1043" s="19">
        <v>46168</v>
      </c>
      <c r="C1043" s="20">
        <f t="shared" si="32"/>
        <v>46143</v>
      </c>
      <c r="D1043" s="17" t="s">
        <v>767</v>
      </c>
      <c r="E1043" s="17" t="s">
        <v>23</v>
      </c>
      <c r="F1043" s="17" t="s">
        <v>31</v>
      </c>
      <c r="G1043" s="21">
        <v>1</v>
      </c>
      <c r="H1043" s="12">
        <v>60.73</v>
      </c>
      <c r="I1043" s="22">
        <v>0</v>
      </c>
      <c r="J1043" s="12">
        <f t="shared" si="33"/>
        <v>60.73</v>
      </c>
      <c r="K1043" s="17" t="s">
        <v>48</v>
      </c>
    </row>
    <row r="1044" spans="1:11" x14ac:dyDescent="0.25">
      <c r="A1044" s="17" t="s">
        <v>1399</v>
      </c>
      <c r="B1044" s="19">
        <v>46169</v>
      </c>
      <c r="C1044" s="20">
        <f t="shared" si="32"/>
        <v>46143</v>
      </c>
      <c r="D1044" s="17" t="s">
        <v>1313</v>
      </c>
      <c r="E1044" s="17" t="s">
        <v>16</v>
      </c>
      <c r="F1044" s="17" t="s">
        <v>30</v>
      </c>
      <c r="G1044" s="21">
        <v>2</v>
      </c>
      <c r="H1044" s="12">
        <v>251.68</v>
      </c>
      <c r="I1044" s="22">
        <v>0.15</v>
      </c>
      <c r="J1044" s="12">
        <f t="shared" si="33"/>
        <v>427.86</v>
      </c>
      <c r="K1044" s="17" t="s">
        <v>59</v>
      </c>
    </row>
    <row r="1045" spans="1:11" x14ac:dyDescent="0.25">
      <c r="A1045" s="17" t="s">
        <v>1400</v>
      </c>
      <c r="B1045" s="19">
        <v>46169</v>
      </c>
      <c r="C1045" s="20">
        <f t="shared" si="32"/>
        <v>46143</v>
      </c>
      <c r="D1045" s="17" t="s">
        <v>314</v>
      </c>
      <c r="E1045" s="17" t="s">
        <v>24</v>
      </c>
      <c r="F1045" s="17" t="s">
        <v>30</v>
      </c>
      <c r="G1045" s="21">
        <v>2</v>
      </c>
      <c r="H1045" s="12">
        <v>34.99</v>
      </c>
      <c r="I1045" s="22">
        <v>0.05</v>
      </c>
      <c r="J1045" s="12">
        <f t="shared" si="33"/>
        <v>66.48</v>
      </c>
      <c r="K1045" s="17" t="s">
        <v>43</v>
      </c>
    </row>
    <row r="1046" spans="1:11" x14ac:dyDescent="0.25">
      <c r="A1046" s="17" t="s">
        <v>1401</v>
      </c>
      <c r="B1046" s="19">
        <v>46169</v>
      </c>
      <c r="C1046" s="20">
        <f t="shared" si="32"/>
        <v>46143</v>
      </c>
      <c r="D1046" s="17" t="s">
        <v>465</v>
      </c>
      <c r="E1046" s="17" t="s">
        <v>23</v>
      </c>
      <c r="F1046" s="17" t="s">
        <v>30</v>
      </c>
      <c r="G1046" s="21">
        <v>5</v>
      </c>
      <c r="H1046" s="12">
        <v>59.37</v>
      </c>
      <c r="I1046" s="22">
        <v>0.1</v>
      </c>
      <c r="J1046" s="12">
        <f t="shared" si="33"/>
        <v>267.17</v>
      </c>
      <c r="K1046" s="17" t="s">
        <v>43</v>
      </c>
    </row>
    <row r="1047" spans="1:11" x14ac:dyDescent="0.25">
      <c r="A1047" s="17" t="s">
        <v>1402</v>
      </c>
      <c r="B1047" s="19">
        <v>46169</v>
      </c>
      <c r="C1047" s="20">
        <f t="shared" si="32"/>
        <v>46143</v>
      </c>
      <c r="D1047" s="17" t="s">
        <v>153</v>
      </c>
      <c r="E1047" s="17" t="s">
        <v>24</v>
      </c>
      <c r="F1047" s="17" t="s">
        <v>31</v>
      </c>
      <c r="G1047" s="21">
        <v>1</v>
      </c>
      <c r="H1047" s="12">
        <v>34.14</v>
      </c>
      <c r="I1047" s="22">
        <v>0</v>
      </c>
      <c r="J1047" s="12">
        <f t="shared" si="33"/>
        <v>34.14</v>
      </c>
      <c r="K1047" s="17" t="s">
        <v>48</v>
      </c>
    </row>
    <row r="1048" spans="1:11" x14ac:dyDescent="0.25">
      <c r="A1048" s="17" t="s">
        <v>1403</v>
      </c>
      <c r="B1048" s="19">
        <v>46170</v>
      </c>
      <c r="C1048" s="20">
        <f t="shared" si="32"/>
        <v>46143</v>
      </c>
      <c r="D1048" s="17" t="s">
        <v>122</v>
      </c>
      <c r="E1048" s="17" t="s">
        <v>20</v>
      </c>
      <c r="F1048" s="17" t="s">
        <v>30</v>
      </c>
      <c r="G1048" s="21">
        <v>3</v>
      </c>
      <c r="H1048" s="12">
        <v>90.23</v>
      </c>
      <c r="I1048" s="22">
        <v>0</v>
      </c>
      <c r="J1048" s="12">
        <f t="shared" si="33"/>
        <v>270.69</v>
      </c>
      <c r="K1048" s="17" t="s">
        <v>43</v>
      </c>
    </row>
    <row r="1049" spans="1:11" x14ac:dyDescent="0.25">
      <c r="A1049" s="17" t="s">
        <v>1404</v>
      </c>
      <c r="B1049" s="19">
        <v>46170</v>
      </c>
      <c r="C1049" s="20">
        <f t="shared" si="32"/>
        <v>46143</v>
      </c>
      <c r="D1049" s="17" t="s">
        <v>231</v>
      </c>
      <c r="E1049" s="17" t="s">
        <v>22</v>
      </c>
      <c r="F1049" s="17" t="s">
        <v>30</v>
      </c>
      <c r="G1049" s="21">
        <v>3</v>
      </c>
      <c r="H1049" s="12">
        <v>98.18</v>
      </c>
      <c r="I1049" s="22">
        <v>0</v>
      </c>
      <c r="J1049" s="12">
        <f t="shared" si="33"/>
        <v>294.54000000000002</v>
      </c>
      <c r="K1049" s="17" t="s">
        <v>43</v>
      </c>
    </row>
    <row r="1050" spans="1:11" x14ac:dyDescent="0.25">
      <c r="A1050" s="17" t="s">
        <v>1405</v>
      </c>
      <c r="B1050" s="19">
        <v>46170</v>
      </c>
      <c r="C1050" s="20">
        <f t="shared" si="32"/>
        <v>46143</v>
      </c>
      <c r="D1050" s="17" t="s">
        <v>263</v>
      </c>
      <c r="E1050" s="17" t="s">
        <v>20</v>
      </c>
      <c r="F1050" s="17" t="s">
        <v>31</v>
      </c>
      <c r="G1050" s="21">
        <v>5</v>
      </c>
      <c r="H1050" s="12">
        <v>89.46</v>
      </c>
      <c r="I1050" s="22">
        <v>0</v>
      </c>
      <c r="J1050" s="12">
        <f t="shared" si="33"/>
        <v>447.3</v>
      </c>
      <c r="K1050" s="17" t="s">
        <v>48</v>
      </c>
    </row>
    <row r="1051" spans="1:11" x14ac:dyDescent="0.25">
      <c r="A1051" s="17" t="s">
        <v>1406</v>
      </c>
      <c r="B1051" s="19">
        <v>46170</v>
      </c>
      <c r="C1051" s="20">
        <f t="shared" si="32"/>
        <v>46143</v>
      </c>
      <c r="D1051" s="17" t="s">
        <v>135</v>
      </c>
      <c r="E1051" s="17" t="s">
        <v>23</v>
      </c>
      <c r="F1051" s="17" t="s">
        <v>31</v>
      </c>
      <c r="G1051" s="21">
        <v>3</v>
      </c>
      <c r="H1051" s="12">
        <v>58.61</v>
      </c>
      <c r="I1051" s="22">
        <v>0</v>
      </c>
      <c r="J1051" s="12">
        <f t="shared" si="33"/>
        <v>175.83</v>
      </c>
      <c r="K1051" s="17" t="s">
        <v>48</v>
      </c>
    </row>
    <row r="1052" spans="1:11" x14ac:dyDescent="0.25">
      <c r="A1052" s="17" t="s">
        <v>1407</v>
      </c>
      <c r="B1052" s="19">
        <v>46170</v>
      </c>
      <c r="C1052" s="20">
        <f t="shared" si="32"/>
        <v>46143</v>
      </c>
      <c r="D1052" s="17" t="s">
        <v>333</v>
      </c>
      <c r="E1052" s="17" t="s">
        <v>16</v>
      </c>
      <c r="F1052" s="17" t="s">
        <v>31</v>
      </c>
      <c r="G1052" s="21">
        <v>2</v>
      </c>
      <c r="H1052" s="12">
        <v>241.6</v>
      </c>
      <c r="I1052" s="22">
        <v>0</v>
      </c>
      <c r="J1052" s="12">
        <f t="shared" si="33"/>
        <v>483.2</v>
      </c>
      <c r="K1052" s="17" t="s">
        <v>48</v>
      </c>
    </row>
    <row r="1053" spans="1:11" x14ac:dyDescent="0.25">
      <c r="A1053" s="17" t="s">
        <v>1408</v>
      </c>
      <c r="B1053" s="19">
        <v>46171</v>
      </c>
      <c r="C1053" s="20">
        <f t="shared" si="32"/>
        <v>46143</v>
      </c>
      <c r="D1053" s="17" t="s">
        <v>69</v>
      </c>
      <c r="E1053" s="17" t="s">
        <v>26</v>
      </c>
      <c r="F1053" s="17" t="s">
        <v>30</v>
      </c>
      <c r="G1053" s="21">
        <v>2</v>
      </c>
      <c r="H1053" s="12">
        <v>25.17</v>
      </c>
      <c r="I1053" s="22">
        <v>0</v>
      </c>
      <c r="J1053" s="12">
        <f t="shared" si="33"/>
        <v>50.34</v>
      </c>
      <c r="K1053" s="17" t="s">
        <v>59</v>
      </c>
    </row>
    <row r="1054" spans="1:11" x14ac:dyDescent="0.25">
      <c r="A1054" s="17" t="s">
        <v>1409</v>
      </c>
      <c r="B1054" s="19">
        <v>46171</v>
      </c>
      <c r="C1054" s="20">
        <f t="shared" si="32"/>
        <v>46143</v>
      </c>
      <c r="D1054" s="17" t="s">
        <v>112</v>
      </c>
      <c r="E1054" s="17" t="s">
        <v>18</v>
      </c>
      <c r="F1054" s="17" t="s">
        <v>30</v>
      </c>
      <c r="G1054" s="21">
        <v>3</v>
      </c>
      <c r="H1054" s="12">
        <v>148.79</v>
      </c>
      <c r="I1054" s="22">
        <v>0.1</v>
      </c>
      <c r="J1054" s="12">
        <f t="shared" si="33"/>
        <v>401.73</v>
      </c>
      <c r="K1054" s="17" t="s">
        <v>59</v>
      </c>
    </row>
    <row r="1055" spans="1:11" x14ac:dyDescent="0.25">
      <c r="A1055" s="17" t="s">
        <v>1410</v>
      </c>
      <c r="B1055" s="19">
        <v>46171</v>
      </c>
      <c r="C1055" s="20">
        <f t="shared" si="32"/>
        <v>46143</v>
      </c>
      <c r="D1055" s="17" t="s">
        <v>227</v>
      </c>
      <c r="E1055" s="17" t="s">
        <v>21</v>
      </c>
      <c r="F1055" s="17" t="s">
        <v>30</v>
      </c>
      <c r="G1055" s="21">
        <v>2</v>
      </c>
      <c r="H1055" s="12">
        <v>79.430000000000007</v>
      </c>
      <c r="I1055" s="22">
        <v>0.1</v>
      </c>
      <c r="J1055" s="12">
        <f t="shared" si="33"/>
        <v>142.97</v>
      </c>
      <c r="K1055" s="17" t="s">
        <v>43</v>
      </c>
    </row>
    <row r="1056" spans="1:11" x14ac:dyDescent="0.25">
      <c r="A1056" s="17" t="s">
        <v>1411</v>
      </c>
      <c r="B1056" s="19">
        <v>46171</v>
      </c>
      <c r="C1056" s="20">
        <f t="shared" si="32"/>
        <v>46143</v>
      </c>
      <c r="D1056" s="17" t="s">
        <v>210</v>
      </c>
      <c r="E1056" s="17" t="s">
        <v>16</v>
      </c>
      <c r="F1056" s="17" t="s">
        <v>31</v>
      </c>
      <c r="G1056" s="21">
        <v>2</v>
      </c>
      <c r="H1056" s="12">
        <v>251.01</v>
      </c>
      <c r="I1056" s="22">
        <v>0.1</v>
      </c>
      <c r="J1056" s="12">
        <f t="shared" si="33"/>
        <v>451.82</v>
      </c>
      <c r="K1056" s="17" t="s">
        <v>48</v>
      </c>
    </row>
    <row r="1057" spans="1:11" x14ac:dyDescent="0.25">
      <c r="A1057" s="17" t="s">
        <v>1412</v>
      </c>
      <c r="B1057" s="19">
        <v>46171</v>
      </c>
      <c r="C1057" s="20">
        <f t="shared" si="32"/>
        <v>46143</v>
      </c>
      <c r="D1057" s="17" t="s">
        <v>100</v>
      </c>
      <c r="E1057" s="17" t="s">
        <v>18</v>
      </c>
      <c r="F1057" s="17" t="s">
        <v>31</v>
      </c>
      <c r="G1057" s="21">
        <v>1</v>
      </c>
      <c r="H1057" s="12">
        <v>147.86000000000001</v>
      </c>
      <c r="I1057" s="22">
        <v>0</v>
      </c>
      <c r="J1057" s="12">
        <f t="shared" si="33"/>
        <v>147.86000000000001</v>
      </c>
      <c r="K1057" s="17" t="s">
        <v>48</v>
      </c>
    </row>
    <row r="1058" spans="1:11" x14ac:dyDescent="0.25">
      <c r="A1058" s="17" t="s">
        <v>1413</v>
      </c>
      <c r="B1058" s="19">
        <v>46171</v>
      </c>
      <c r="C1058" s="20">
        <f t="shared" si="32"/>
        <v>46143</v>
      </c>
      <c r="D1058" s="17" t="s">
        <v>807</v>
      </c>
      <c r="E1058" s="17" t="s">
        <v>21</v>
      </c>
      <c r="F1058" s="17" t="s">
        <v>31</v>
      </c>
      <c r="G1058" s="21">
        <v>1</v>
      </c>
      <c r="H1058" s="12">
        <v>80.569999999999993</v>
      </c>
      <c r="I1058" s="22">
        <v>0.15</v>
      </c>
      <c r="J1058" s="12">
        <f t="shared" si="33"/>
        <v>68.48</v>
      </c>
      <c r="K1058" s="17" t="s">
        <v>48</v>
      </c>
    </row>
    <row r="1059" spans="1:11" x14ac:dyDescent="0.25">
      <c r="A1059" s="17" t="s">
        <v>1414</v>
      </c>
      <c r="B1059" s="19">
        <v>46172</v>
      </c>
      <c r="C1059" s="20">
        <f t="shared" si="32"/>
        <v>46143</v>
      </c>
      <c r="D1059" s="17" t="s">
        <v>916</v>
      </c>
      <c r="E1059" s="17" t="s">
        <v>23</v>
      </c>
      <c r="F1059" s="17" t="s">
        <v>30</v>
      </c>
      <c r="G1059" s="21">
        <v>2</v>
      </c>
      <c r="H1059" s="12">
        <v>57.36</v>
      </c>
      <c r="I1059" s="22">
        <v>0.05</v>
      </c>
      <c r="J1059" s="12">
        <f t="shared" si="33"/>
        <v>108.98</v>
      </c>
      <c r="K1059" s="17" t="s">
        <v>59</v>
      </c>
    </row>
    <row r="1060" spans="1:11" x14ac:dyDescent="0.25">
      <c r="A1060" s="17" t="s">
        <v>1415</v>
      </c>
      <c r="B1060" s="19">
        <v>46172</v>
      </c>
      <c r="C1060" s="20">
        <f t="shared" si="32"/>
        <v>46143</v>
      </c>
      <c r="D1060" s="17" t="s">
        <v>1220</v>
      </c>
      <c r="E1060" s="17" t="s">
        <v>18</v>
      </c>
      <c r="F1060" s="17" t="s">
        <v>30</v>
      </c>
      <c r="G1060" s="21">
        <v>3</v>
      </c>
      <c r="H1060" s="12">
        <v>145.97999999999999</v>
      </c>
      <c r="I1060" s="22">
        <v>0</v>
      </c>
      <c r="J1060" s="12">
        <f t="shared" si="33"/>
        <v>437.94</v>
      </c>
      <c r="K1060" s="17" t="s">
        <v>59</v>
      </c>
    </row>
    <row r="1061" spans="1:11" x14ac:dyDescent="0.25">
      <c r="A1061" s="17" t="s">
        <v>1416</v>
      </c>
      <c r="B1061" s="19">
        <v>46172</v>
      </c>
      <c r="C1061" s="20">
        <f t="shared" si="32"/>
        <v>46143</v>
      </c>
      <c r="D1061" s="17" t="s">
        <v>438</v>
      </c>
      <c r="E1061" s="17" t="s">
        <v>20</v>
      </c>
      <c r="F1061" s="17" t="s">
        <v>30</v>
      </c>
      <c r="G1061" s="21">
        <v>4</v>
      </c>
      <c r="H1061" s="12">
        <v>91.29</v>
      </c>
      <c r="I1061" s="22">
        <v>0</v>
      </c>
      <c r="J1061" s="12">
        <f t="shared" si="33"/>
        <v>365.16</v>
      </c>
      <c r="K1061" s="17" t="s">
        <v>43</v>
      </c>
    </row>
    <row r="1062" spans="1:11" x14ac:dyDescent="0.25">
      <c r="A1062" s="17" t="s">
        <v>1417</v>
      </c>
      <c r="B1062" s="19">
        <v>46172</v>
      </c>
      <c r="C1062" s="20">
        <f t="shared" si="32"/>
        <v>46143</v>
      </c>
      <c r="D1062" s="17" t="s">
        <v>42</v>
      </c>
      <c r="E1062" s="17" t="s">
        <v>21</v>
      </c>
      <c r="F1062" s="17" t="s">
        <v>31</v>
      </c>
      <c r="G1062" s="21">
        <v>1</v>
      </c>
      <c r="H1062" s="12">
        <v>78.97</v>
      </c>
      <c r="I1062" s="22">
        <v>0.05</v>
      </c>
      <c r="J1062" s="12">
        <f t="shared" si="33"/>
        <v>75.02</v>
      </c>
      <c r="K1062" s="17" t="s">
        <v>48</v>
      </c>
    </row>
    <row r="1063" spans="1:11" x14ac:dyDescent="0.25">
      <c r="A1063" s="17" t="s">
        <v>1418</v>
      </c>
      <c r="B1063" s="19">
        <v>46172</v>
      </c>
      <c r="C1063" s="20">
        <f t="shared" si="32"/>
        <v>46143</v>
      </c>
      <c r="D1063" s="17" t="s">
        <v>520</v>
      </c>
      <c r="E1063" s="17" t="s">
        <v>21</v>
      </c>
      <c r="F1063" s="17" t="s">
        <v>31</v>
      </c>
      <c r="G1063" s="21">
        <v>2</v>
      </c>
      <c r="H1063" s="12">
        <v>78.22</v>
      </c>
      <c r="I1063" s="22">
        <v>0</v>
      </c>
      <c r="J1063" s="12">
        <f t="shared" si="33"/>
        <v>156.44</v>
      </c>
      <c r="K1063" s="17" t="s">
        <v>48</v>
      </c>
    </row>
    <row r="1064" spans="1:11" x14ac:dyDescent="0.25">
      <c r="A1064" s="17" t="s">
        <v>1419</v>
      </c>
      <c r="B1064" s="19">
        <v>46172</v>
      </c>
      <c r="C1064" s="20">
        <f t="shared" si="32"/>
        <v>46143</v>
      </c>
      <c r="D1064" s="17" t="s">
        <v>473</v>
      </c>
      <c r="E1064" s="17" t="s">
        <v>23</v>
      </c>
      <c r="F1064" s="17" t="s">
        <v>31</v>
      </c>
      <c r="G1064" s="21">
        <v>1</v>
      </c>
      <c r="H1064" s="12">
        <v>57.3</v>
      </c>
      <c r="I1064" s="22">
        <v>0.1</v>
      </c>
      <c r="J1064" s="12">
        <f t="shared" si="33"/>
        <v>51.57</v>
      </c>
      <c r="K1064" s="17" t="s">
        <v>48</v>
      </c>
    </row>
    <row r="1065" spans="1:11" x14ac:dyDescent="0.25">
      <c r="A1065" s="17" t="s">
        <v>1420</v>
      </c>
      <c r="B1065" s="19">
        <v>46173</v>
      </c>
      <c r="C1065" s="20">
        <f t="shared" si="32"/>
        <v>46143</v>
      </c>
      <c r="D1065" s="17" t="s">
        <v>562</v>
      </c>
      <c r="E1065" s="17" t="s">
        <v>18</v>
      </c>
      <c r="F1065" s="17" t="s">
        <v>30</v>
      </c>
      <c r="G1065" s="21">
        <v>4</v>
      </c>
      <c r="H1065" s="12">
        <v>151.29</v>
      </c>
      <c r="I1065" s="22">
        <v>0</v>
      </c>
      <c r="J1065" s="12">
        <f t="shared" si="33"/>
        <v>605.16</v>
      </c>
      <c r="K1065" s="17" t="s">
        <v>59</v>
      </c>
    </row>
    <row r="1066" spans="1:11" x14ac:dyDescent="0.25">
      <c r="A1066" s="17" t="s">
        <v>1421</v>
      </c>
      <c r="B1066" s="19">
        <v>46173</v>
      </c>
      <c r="C1066" s="20">
        <f t="shared" si="32"/>
        <v>46143</v>
      </c>
      <c r="D1066" s="17" t="s">
        <v>71</v>
      </c>
      <c r="E1066" s="17" t="s">
        <v>20</v>
      </c>
      <c r="F1066" s="17" t="s">
        <v>30</v>
      </c>
      <c r="G1066" s="21">
        <v>1</v>
      </c>
      <c r="H1066" s="12">
        <v>90.66</v>
      </c>
      <c r="I1066" s="22">
        <v>0.1</v>
      </c>
      <c r="J1066" s="12">
        <f t="shared" si="33"/>
        <v>81.59</v>
      </c>
      <c r="K1066" s="17" t="s">
        <v>59</v>
      </c>
    </row>
    <row r="1067" spans="1:11" x14ac:dyDescent="0.25">
      <c r="A1067" s="17" t="s">
        <v>1422</v>
      </c>
      <c r="B1067" s="19">
        <v>46173</v>
      </c>
      <c r="C1067" s="20">
        <f t="shared" si="32"/>
        <v>46143</v>
      </c>
      <c r="D1067" s="17" t="s">
        <v>1313</v>
      </c>
      <c r="E1067" s="17" t="s">
        <v>27</v>
      </c>
      <c r="F1067" s="17" t="s">
        <v>31</v>
      </c>
      <c r="G1067" s="21">
        <v>3</v>
      </c>
      <c r="H1067" s="12">
        <v>12.84</v>
      </c>
      <c r="I1067" s="22">
        <v>0.05</v>
      </c>
      <c r="J1067" s="12">
        <f t="shared" si="33"/>
        <v>36.590000000000003</v>
      </c>
      <c r="K1067" s="17" t="s">
        <v>48</v>
      </c>
    </row>
    <row r="1068" spans="1:11" x14ac:dyDescent="0.25">
      <c r="A1068" s="17" t="s">
        <v>1423</v>
      </c>
      <c r="B1068" s="19">
        <v>46174</v>
      </c>
      <c r="C1068" s="20">
        <f t="shared" si="32"/>
        <v>46174</v>
      </c>
      <c r="D1068" s="17" t="s">
        <v>244</v>
      </c>
      <c r="E1068" s="17" t="s">
        <v>17</v>
      </c>
      <c r="F1068" s="17" t="s">
        <v>30</v>
      </c>
      <c r="G1068" s="21">
        <v>2</v>
      </c>
      <c r="H1068" s="12">
        <v>216.62</v>
      </c>
      <c r="I1068" s="22">
        <v>0</v>
      </c>
      <c r="J1068" s="12">
        <f t="shared" si="33"/>
        <v>433.24</v>
      </c>
      <c r="K1068" s="17" t="s">
        <v>59</v>
      </c>
    </row>
    <row r="1069" spans="1:11" x14ac:dyDescent="0.25">
      <c r="A1069" s="17" t="s">
        <v>1424</v>
      </c>
      <c r="B1069" s="19">
        <v>46174</v>
      </c>
      <c r="C1069" s="20">
        <f t="shared" si="32"/>
        <v>46174</v>
      </c>
      <c r="D1069" s="17" t="s">
        <v>1141</v>
      </c>
      <c r="E1069" s="17" t="s">
        <v>21</v>
      </c>
      <c r="F1069" s="17" t="s">
        <v>30</v>
      </c>
      <c r="G1069" s="21">
        <v>2</v>
      </c>
      <c r="H1069" s="12">
        <v>79.37</v>
      </c>
      <c r="I1069" s="22">
        <v>0</v>
      </c>
      <c r="J1069" s="12">
        <f t="shared" si="33"/>
        <v>158.74</v>
      </c>
      <c r="K1069" s="17" t="s">
        <v>59</v>
      </c>
    </row>
    <row r="1070" spans="1:11" x14ac:dyDescent="0.25">
      <c r="A1070" s="17" t="s">
        <v>1425</v>
      </c>
      <c r="B1070" s="19">
        <v>46174</v>
      </c>
      <c r="C1070" s="20">
        <f t="shared" si="32"/>
        <v>46174</v>
      </c>
      <c r="D1070" s="17" t="s">
        <v>210</v>
      </c>
      <c r="E1070" s="17" t="s">
        <v>22</v>
      </c>
      <c r="F1070" s="17" t="s">
        <v>30</v>
      </c>
      <c r="G1070" s="21">
        <v>4</v>
      </c>
      <c r="H1070" s="12">
        <v>99.29</v>
      </c>
      <c r="I1070" s="22">
        <v>0</v>
      </c>
      <c r="J1070" s="12">
        <f t="shared" si="33"/>
        <v>397.16</v>
      </c>
      <c r="K1070" s="17" t="s">
        <v>59</v>
      </c>
    </row>
    <row r="1071" spans="1:11" x14ac:dyDescent="0.25">
      <c r="A1071" s="17" t="s">
        <v>1426</v>
      </c>
      <c r="B1071" s="19">
        <v>46174</v>
      </c>
      <c r="C1071" s="20">
        <f t="shared" si="32"/>
        <v>46174</v>
      </c>
      <c r="D1071" s="17" t="s">
        <v>108</v>
      </c>
      <c r="E1071" s="17" t="s">
        <v>22</v>
      </c>
      <c r="F1071" s="17" t="s">
        <v>30</v>
      </c>
      <c r="G1071" s="21">
        <v>1</v>
      </c>
      <c r="H1071" s="12">
        <v>99.5</v>
      </c>
      <c r="I1071" s="22">
        <v>0.05</v>
      </c>
      <c r="J1071" s="12">
        <f t="shared" si="33"/>
        <v>94.53</v>
      </c>
      <c r="K1071" s="17" t="s">
        <v>43</v>
      </c>
    </row>
    <row r="1072" spans="1:11" x14ac:dyDescent="0.25">
      <c r="A1072" s="17" t="s">
        <v>1427</v>
      </c>
      <c r="B1072" s="19">
        <v>46174</v>
      </c>
      <c r="C1072" s="20">
        <f t="shared" si="32"/>
        <v>46174</v>
      </c>
      <c r="D1072" s="17" t="s">
        <v>78</v>
      </c>
      <c r="E1072" s="17" t="s">
        <v>19</v>
      </c>
      <c r="F1072" s="17" t="s">
        <v>30</v>
      </c>
      <c r="G1072" s="21">
        <v>1</v>
      </c>
      <c r="H1072" s="12">
        <v>131.47999999999999</v>
      </c>
      <c r="I1072" s="22">
        <v>0</v>
      </c>
      <c r="J1072" s="12">
        <f t="shared" si="33"/>
        <v>131.47999999999999</v>
      </c>
      <c r="K1072" s="17" t="s">
        <v>43</v>
      </c>
    </row>
    <row r="1073" spans="1:11" x14ac:dyDescent="0.25">
      <c r="A1073" s="17" t="s">
        <v>1428</v>
      </c>
      <c r="B1073" s="19">
        <v>46175</v>
      </c>
      <c r="C1073" s="20">
        <f t="shared" si="32"/>
        <v>46174</v>
      </c>
      <c r="D1073" s="17" t="s">
        <v>1217</v>
      </c>
      <c r="E1073" s="17" t="s">
        <v>27</v>
      </c>
      <c r="F1073" s="17" t="s">
        <v>30</v>
      </c>
      <c r="G1073" s="21">
        <v>1</v>
      </c>
      <c r="H1073" s="12">
        <v>12.77</v>
      </c>
      <c r="I1073" s="22">
        <v>0.1</v>
      </c>
      <c r="J1073" s="12">
        <f t="shared" si="33"/>
        <v>11.49</v>
      </c>
      <c r="K1073" s="17" t="s">
        <v>59</v>
      </c>
    </row>
    <row r="1074" spans="1:11" x14ac:dyDescent="0.25">
      <c r="A1074" s="17" t="s">
        <v>1429</v>
      </c>
      <c r="B1074" s="19">
        <v>46175</v>
      </c>
      <c r="C1074" s="20">
        <f t="shared" si="32"/>
        <v>46174</v>
      </c>
      <c r="D1074" s="17" t="s">
        <v>875</v>
      </c>
      <c r="E1074" s="17" t="s">
        <v>23</v>
      </c>
      <c r="F1074" s="17" t="s">
        <v>30</v>
      </c>
      <c r="G1074" s="21">
        <v>2</v>
      </c>
      <c r="H1074" s="12">
        <v>58.62</v>
      </c>
      <c r="I1074" s="22">
        <v>0</v>
      </c>
      <c r="J1074" s="12">
        <f t="shared" si="33"/>
        <v>117.24</v>
      </c>
      <c r="K1074" s="17" t="s">
        <v>59</v>
      </c>
    </row>
    <row r="1075" spans="1:11" x14ac:dyDescent="0.25">
      <c r="A1075" s="17" t="s">
        <v>1430</v>
      </c>
      <c r="B1075" s="19">
        <v>46175</v>
      </c>
      <c r="C1075" s="20">
        <f t="shared" si="32"/>
        <v>46174</v>
      </c>
      <c r="D1075" s="17" t="s">
        <v>832</v>
      </c>
      <c r="E1075" s="17" t="s">
        <v>22</v>
      </c>
      <c r="F1075" s="17" t="s">
        <v>30</v>
      </c>
      <c r="G1075" s="21">
        <v>5</v>
      </c>
      <c r="H1075" s="12">
        <v>101.78</v>
      </c>
      <c r="I1075" s="22">
        <v>0</v>
      </c>
      <c r="J1075" s="12">
        <f t="shared" si="33"/>
        <v>508.9</v>
      </c>
      <c r="K1075" s="17" t="s">
        <v>59</v>
      </c>
    </row>
    <row r="1076" spans="1:11" x14ac:dyDescent="0.25">
      <c r="A1076" s="17" t="s">
        <v>1431</v>
      </c>
      <c r="B1076" s="19">
        <v>46175</v>
      </c>
      <c r="C1076" s="20">
        <f t="shared" si="32"/>
        <v>46174</v>
      </c>
      <c r="D1076" s="17" t="s">
        <v>1432</v>
      </c>
      <c r="E1076" s="17" t="s">
        <v>21</v>
      </c>
      <c r="F1076" s="17" t="s">
        <v>30</v>
      </c>
      <c r="G1076" s="21">
        <v>4</v>
      </c>
      <c r="H1076" s="12">
        <v>77.7</v>
      </c>
      <c r="I1076" s="22">
        <v>0</v>
      </c>
      <c r="J1076" s="12">
        <f t="shared" si="33"/>
        <v>310.8</v>
      </c>
      <c r="K1076" s="17" t="s">
        <v>43</v>
      </c>
    </row>
    <row r="1077" spans="1:11" x14ac:dyDescent="0.25">
      <c r="A1077" s="17" t="s">
        <v>1433</v>
      </c>
      <c r="B1077" s="19">
        <v>46175</v>
      </c>
      <c r="C1077" s="20">
        <f t="shared" si="32"/>
        <v>46174</v>
      </c>
      <c r="D1077" s="17" t="s">
        <v>244</v>
      </c>
      <c r="E1077" s="17" t="s">
        <v>24</v>
      </c>
      <c r="F1077" s="17" t="s">
        <v>30</v>
      </c>
      <c r="G1077" s="21">
        <v>1</v>
      </c>
      <c r="H1077" s="12">
        <v>34.409999999999997</v>
      </c>
      <c r="I1077" s="22">
        <v>0.05</v>
      </c>
      <c r="J1077" s="12">
        <f t="shared" si="33"/>
        <v>32.69</v>
      </c>
      <c r="K1077" s="17" t="s">
        <v>43</v>
      </c>
    </row>
    <row r="1078" spans="1:11" x14ac:dyDescent="0.25">
      <c r="A1078" s="17" t="s">
        <v>1434</v>
      </c>
      <c r="B1078" s="19">
        <v>46175</v>
      </c>
      <c r="C1078" s="20">
        <f t="shared" si="32"/>
        <v>46174</v>
      </c>
      <c r="D1078" s="17" t="s">
        <v>633</v>
      </c>
      <c r="E1078" s="17" t="s">
        <v>21</v>
      </c>
      <c r="F1078" s="17" t="s">
        <v>30</v>
      </c>
      <c r="G1078" s="21">
        <v>2</v>
      </c>
      <c r="H1078" s="12">
        <v>78.010000000000005</v>
      </c>
      <c r="I1078" s="22">
        <v>0.15</v>
      </c>
      <c r="J1078" s="12">
        <f t="shared" si="33"/>
        <v>132.62</v>
      </c>
      <c r="K1078" s="17" t="s">
        <v>43</v>
      </c>
    </row>
    <row r="1079" spans="1:11" x14ac:dyDescent="0.25">
      <c r="A1079" s="17" t="s">
        <v>1435</v>
      </c>
      <c r="B1079" s="19">
        <v>46175</v>
      </c>
      <c r="C1079" s="20">
        <f t="shared" si="32"/>
        <v>46174</v>
      </c>
      <c r="D1079" s="17" t="s">
        <v>1026</v>
      </c>
      <c r="E1079" s="17" t="s">
        <v>20</v>
      </c>
      <c r="F1079" s="17" t="s">
        <v>30</v>
      </c>
      <c r="G1079" s="21">
        <v>2</v>
      </c>
      <c r="H1079" s="12">
        <v>87.6</v>
      </c>
      <c r="I1079" s="22">
        <v>0.15</v>
      </c>
      <c r="J1079" s="12">
        <f t="shared" si="33"/>
        <v>148.91999999999999</v>
      </c>
      <c r="K1079" s="17" t="s">
        <v>43</v>
      </c>
    </row>
    <row r="1080" spans="1:11" x14ac:dyDescent="0.25">
      <c r="A1080" s="17" t="s">
        <v>1436</v>
      </c>
      <c r="B1080" s="19">
        <v>46175</v>
      </c>
      <c r="C1080" s="20">
        <f t="shared" si="32"/>
        <v>46174</v>
      </c>
      <c r="D1080" s="17" t="s">
        <v>546</v>
      </c>
      <c r="E1080" s="17" t="s">
        <v>19</v>
      </c>
      <c r="F1080" s="17" t="s">
        <v>30</v>
      </c>
      <c r="G1080" s="21">
        <v>1</v>
      </c>
      <c r="H1080" s="12">
        <v>128.24</v>
      </c>
      <c r="I1080" s="22">
        <v>0</v>
      </c>
      <c r="J1080" s="12">
        <f t="shared" si="33"/>
        <v>128.24</v>
      </c>
      <c r="K1080" s="17" t="s">
        <v>43</v>
      </c>
    </row>
    <row r="1081" spans="1:11" x14ac:dyDescent="0.25">
      <c r="A1081" s="17" t="s">
        <v>1437</v>
      </c>
      <c r="B1081" s="19">
        <v>46175</v>
      </c>
      <c r="C1081" s="20">
        <f t="shared" si="32"/>
        <v>46174</v>
      </c>
      <c r="D1081" s="17" t="s">
        <v>485</v>
      </c>
      <c r="E1081" s="17" t="s">
        <v>25</v>
      </c>
      <c r="F1081" s="17" t="s">
        <v>31</v>
      </c>
      <c r="G1081" s="21">
        <v>3</v>
      </c>
      <c r="H1081" s="12">
        <v>29.76</v>
      </c>
      <c r="I1081" s="22">
        <v>0.05</v>
      </c>
      <c r="J1081" s="12">
        <f t="shared" si="33"/>
        <v>84.82</v>
      </c>
      <c r="K1081" s="17" t="s">
        <v>48</v>
      </c>
    </row>
    <row r="1082" spans="1:11" x14ac:dyDescent="0.25">
      <c r="A1082" s="17" t="s">
        <v>1438</v>
      </c>
      <c r="B1082" s="19">
        <v>46175</v>
      </c>
      <c r="C1082" s="20">
        <f t="shared" si="32"/>
        <v>46174</v>
      </c>
      <c r="D1082" s="17" t="s">
        <v>73</v>
      </c>
      <c r="E1082" s="17" t="s">
        <v>19</v>
      </c>
      <c r="F1082" s="17" t="s">
        <v>31</v>
      </c>
      <c r="G1082" s="21">
        <v>1</v>
      </c>
      <c r="H1082" s="12">
        <v>126.12</v>
      </c>
      <c r="I1082" s="22">
        <v>0.15</v>
      </c>
      <c r="J1082" s="12">
        <f t="shared" si="33"/>
        <v>107.2</v>
      </c>
      <c r="K1082" s="17" t="s">
        <v>48</v>
      </c>
    </row>
    <row r="1083" spans="1:11" x14ac:dyDescent="0.25">
      <c r="A1083" s="17" t="s">
        <v>1439</v>
      </c>
      <c r="B1083" s="19">
        <v>46175</v>
      </c>
      <c r="C1083" s="20">
        <f t="shared" si="32"/>
        <v>46174</v>
      </c>
      <c r="D1083" s="17" t="s">
        <v>225</v>
      </c>
      <c r="E1083" s="17" t="s">
        <v>24</v>
      </c>
      <c r="F1083" s="17" t="s">
        <v>31</v>
      </c>
      <c r="G1083" s="21">
        <v>5</v>
      </c>
      <c r="H1083" s="12">
        <v>34.479999999999997</v>
      </c>
      <c r="I1083" s="22">
        <v>0.1</v>
      </c>
      <c r="J1083" s="12">
        <f t="shared" si="33"/>
        <v>155.16</v>
      </c>
      <c r="K1083" s="17" t="s">
        <v>48</v>
      </c>
    </row>
    <row r="1084" spans="1:11" x14ac:dyDescent="0.25">
      <c r="A1084" s="17" t="s">
        <v>1440</v>
      </c>
      <c r="B1084" s="19">
        <v>46175</v>
      </c>
      <c r="C1084" s="20">
        <f t="shared" si="32"/>
        <v>46174</v>
      </c>
      <c r="D1084" s="17" t="s">
        <v>47</v>
      </c>
      <c r="E1084" s="17" t="s">
        <v>20</v>
      </c>
      <c r="F1084" s="17" t="s">
        <v>31</v>
      </c>
      <c r="G1084" s="21">
        <v>1</v>
      </c>
      <c r="H1084" s="12">
        <v>87.35</v>
      </c>
      <c r="I1084" s="22">
        <v>0</v>
      </c>
      <c r="J1084" s="12">
        <f t="shared" si="33"/>
        <v>87.35</v>
      </c>
      <c r="K1084" s="17" t="s">
        <v>48</v>
      </c>
    </row>
    <row r="1085" spans="1:11" x14ac:dyDescent="0.25">
      <c r="A1085" s="17" t="s">
        <v>1441</v>
      </c>
      <c r="B1085" s="19">
        <v>46176</v>
      </c>
      <c r="C1085" s="20">
        <f t="shared" si="32"/>
        <v>46174</v>
      </c>
      <c r="D1085" s="17" t="s">
        <v>684</v>
      </c>
      <c r="E1085" s="17" t="s">
        <v>23</v>
      </c>
      <c r="F1085" s="17" t="s">
        <v>30</v>
      </c>
      <c r="G1085" s="21">
        <v>1</v>
      </c>
      <c r="H1085" s="12">
        <v>59.24</v>
      </c>
      <c r="I1085" s="22">
        <v>0.1</v>
      </c>
      <c r="J1085" s="12">
        <f t="shared" si="33"/>
        <v>53.32</v>
      </c>
      <c r="K1085" s="17" t="s">
        <v>59</v>
      </c>
    </row>
    <row r="1086" spans="1:11" x14ac:dyDescent="0.25">
      <c r="A1086" s="17" t="s">
        <v>1442</v>
      </c>
      <c r="B1086" s="19">
        <v>46176</v>
      </c>
      <c r="C1086" s="20">
        <f t="shared" si="32"/>
        <v>46174</v>
      </c>
      <c r="D1086" s="17" t="s">
        <v>227</v>
      </c>
      <c r="E1086" s="17" t="s">
        <v>17</v>
      </c>
      <c r="F1086" s="17" t="s">
        <v>30</v>
      </c>
      <c r="G1086" s="21">
        <v>3</v>
      </c>
      <c r="H1086" s="12">
        <v>219.17</v>
      </c>
      <c r="I1086" s="22">
        <v>0</v>
      </c>
      <c r="J1086" s="12">
        <f t="shared" si="33"/>
        <v>657.51</v>
      </c>
      <c r="K1086" s="17" t="s">
        <v>59</v>
      </c>
    </row>
    <row r="1087" spans="1:11" x14ac:dyDescent="0.25">
      <c r="A1087" s="17" t="s">
        <v>1443</v>
      </c>
      <c r="B1087" s="19">
        <v>46176</v>
      </c>
      <c r="C1087" s="20">
        <f t="shared" si="32"/>
        <v>46174</v>
      </c>
      <c r="D1087" s="17" t="s">
        <v>392</v>
      </c>
      <c r="E1087" s="17" t="s">
        <v>16</v>
      </c>
      <c r="F1087" s="17" t="s">
        <v>30</v>
      </c>
      <c r="G1087" s="21">
        <v>1</v>
      </c>
      <c r="H1087" s="12">
        <v>250.51</v>
      </c>
      <c r="I1087" s="22">
        <v>0</v>
      </c>
      <c r="J1087" s="12">
        <f t="shared" si="33"/>
        <v>250.51</v>
      </c>
      <c r="K1087" s="17" t="s">
        <v>59</v>
      </c>
    </row>
    <row r="1088" spans="1:11" x14ac:dyDescent="0.25">
      <c r="A1088" s="17" t="s">
        <v>1444</v>
      </c>
      <c r="B1088" s="19">
        <v>46176</v>
      </c>
      <c r="C1088" s="20">
        <f t="shared" si="32"/>
        <v>46174</v>
      </c>
      <c r="D1088" s="17" t="s">
        <v>605</v>
      </c>
      <c r="E1088" s="17" t="s">
        <v>20</v>
      </c>
      <c r="F1088" s="17" t="s">
        <v>30</v>
      </c>
      <c r="G1088" s="21">
        <v>4</v>
      </c>
      <c r="H1088" s="12">
        <v>90.41</v>
      </c>
      <c r="I1088" s="22">
        <v>0.15</v>
      </c>
      <c r="J1088" s="12">
        <f t="shared" si="33"/>
        <v>307.39</v>
      </c>
      <c r="K1088" s="17" t="s">
        <v>43</v>
      </c>
    </row>
    <row r="1089" spans="1:11" x14ac:dyDescent="0.25">
      <c r="A1089" s="17" t="s">
        <v>1445</v>
      </c>
      <c r="B1089" s="19">
        <v>46176</v>
      </c>
      <c r="C1089" s="20">
        <f t="shared" si="32"/>
        <v>46174</v>
      </c>
      <c r="D1089" s="17" t="s">
        <v>1298</v>
      </c>
      <c r="E1089" s="17" t="s">
        <v>24</v>
      </c>
      <c r="F1089" s="17" t="s">
        <v>30</v>
      </c>
      <c r="G1089" s="21">
        <v>2</v>
      </c>
      <c r="H1089" s="12">
        <v>34.78</v>
      </c>
      <c r="I1089" s="22">
        <v>0</v>
      </c>
      <c r="J1089" s="12">
        <f t="shared" si="33"/>
        <v>69.56</v>
      </c>
      <c r="K1089" s="17" t="s">
        <v>43</v>
      </c>
    </row>
    <row r="1090" spans="1:11" x14ac:dyDescent="0.25">
      <c r="A1090" s="17" t="s">
        <v>1446</v>
      </c>
      <c r="B1090" s="19">
        <v>46176</v>
      </c>
      <c r="C1090" s="20">
        <f t="shared" ref="C1090:C1153" si="34">DATE(YEAR(B1090),MONTH(B1090),1)</f>
        <v>46174</v>
      </c>
      <c r="D1090" s="17" t="s">
        <v>1008</v>
      </c>
      <c r="E1090" s="17" t="s">
        <v>17</v>
      </c>
      <c r="F1090" s="17" t="s">
        <v>31</v>
      </c>
      <c r="G1090" s="21">
        <v>1</v>
      </c>
      <c r="H1090" s="12">
        <v>213.77</v>
      </c>
      <c r="I1090" s="22">
        <v>0.1</v>
      </c>
      <c r="J1090" s="12">
        <f t="shared" ref="J1090:J1153" si="35">ROUND(G1090*H1090*(1-I1090),2)</f>
        <v>192.39</v>
      </c>
      <c r="K1090" s="17" t="s">
        <v>48</v>
      </c>
    </row>
    <row r="1091" spans="1:11" x14ac:dyDescent="0.25">
      <c r="A1091" s="17" t="s">
        <v>1447</v>
      </c>
      <c r="B1091" s="19">
        <v>46177</v>
      </c>
      <c r="C1091" s="20">
        <f t="shared" si="34"/>
        <v>46174</v>
      </c>
      <c r="D1091" s="17" t="s">
        <v>424</v>
      </c>
      <c r="E1091" s="17" t="s">
        <v>21</v>
      </c>
      <c r="F1091" s="17" t="s">
        <v>30</v>
      </c>
      <c r="G1091" s="21">
        <v>1</v>
      </c>
      <c r="H1091" s="12">
        <v>79.650000000000006</v>
      </c>
      <c r="I1091" s="22">
        <v>0.15</v>
      </c>
      <c r="J1091" s="12">
        <f t="shared" si="35"/>
        <v>67.7</v>
      </c>
      <c r="K1091" s="17" t="s">
        <v>59</v>
      </c>
    </row>
    <row r="1092" spans="1:11" x14ac:dyDescent="0.25">
      <c r="A1092" s="17" t="s">
        <v>1448</v>
      </c>
      <c r="B1092" s="19">
        <v>46177</v>
      </c>
      <c r="C1092" s="20">
        <f t="shared" si="34"/>
        <v>46174</v>
      </c>
      <c r="D1092" s="17" t="s">
        <v>1220</v>
      </c>
      <c r="E1092" s="17" t="s">
        <v>24</v>
      </c>
      <c r="F1092" s="17" t="s">
        <v>30</v>
      </c>
      <c r="G1092" s="21">
        <v>2</v>
      </c>
      <c r="H1092" s="12">
        <v>35.85</v>
      </c>
      <c r="I1092" s="22">
        <v>0.05</v>
      </c>
      <c r="J1092" s="12">
        <f t="shared" si="35"/>
        <v>68.12</v>
      </c>
      <c r="K1092" s="17" t="s">
        <v>59</v>
      </c>
    </row>
    <row r="1093" spans="1:11" x14ac:dyDescent="0.25">
      <c r="A1093" s="17" t="s">
        <v>1449</v>
      </c>
      <c r="B1093" s="19">
        <v>46177</v>
      </c>
      <c r="C1093" s="20">
        <f t="shared" si="34"/>
        <v>46174</v>
      </c>
      <c r="D1093" s="17" t="s">
        <v>694</v>
      </c>
      <c r="E1093" s="17" t="s">
        <v>19</v>
      </c>
      <c r="F1093" s="17" t="s">
        <v>30</v>
      </c>
      <c r="G1093" s="21">
        <v>1</v>
      </c>
      <c r="H1093" s="12">
        <v>128.47999999999999</v>
      </c>
      <c r="I1093" s="22">
        <v>0.1</v>
      </c>
      <c r="J1093" s="12">
        <f t="shared" si="35"/>
        <v>115.63</v>
      </c>
      <c r="K1093" s="17" t="s">
        <v>43</v>
      </c>
    </row>
    <row r="1094" spans="1:11" x14ac:dyDescent="0.25">
      <c r="A1094" s="17" t="s">
        <v>1450</v>
      </c>
      <c r="B1094" s="19">
        <v>46177</v>
      </c>
      <c r="C1094" s="20">
        <f t="shared" si="34"/>
        <v>46174</v>
      </c>
      <c r="D1094" s="17" t="s">
        <v>110</v>
      </c>
      <c r="E1094" s="17" t="s">
        <v>23</v>
      </c>
      <c r="F1094" s="17" t="s">
        <v>31</v>
      </c>
      <c r="G1094" s="21">
        <v>3</v>
      </c>
      <c r="H1094" s="12">
        <v>58.55</v>
      </c>
      <c r="I1094" s="22">
        <v>0</v>
      </c>
      <c r="J1094" s="12">
        <f t="shared" si="35"/>
        <v>175.65</v>
      </c>
      <c r="K1094" s="17" t="s">
        <v>48</v>
      </c>
    </row>
    <row r="1095" spans="1:11" x14ac:dyDescent="0.25">
      <c r="A1095" s="17" t="s">
        <v>1451</v>
      </c>
      <c r="B1095" s="19">
        <v>46177</v>
      </c>
      <c r="C1095" s="20">
        <f t="shared" si="34"/>
        <v>46174</v>
      </c>
      <c r="D1095" s="17" t="s">
        <v>206</v>
      </c>
      <c r="E1095" s="17" t="s">
        <v>17</v>
      </c>
      <c r="F1095" s="17" t="s">
        <v>31</v>
      </c>
      <c r="G1095" s="21">
        <v>2</v>
      </c>
      <c r="H1095" s="12">
        <v>216.01</v>
      </c>
      <c r="I1095" s="22">
        <v>0</v>
      </c>
      <c r="J1095" s="12">
        <f t="shared" si="35"/>
        <v>432.02</v>
      </c>
      <c r="K1095" s="17" t="s">
        <v>48</v>
      </c>
    </row>
    <row r="1096" spans="1:11" x14ac:dyDescent="0.25">
      <c r="A1096" s="17" t="s">
        <v>1452</v>
      </c>
      <c r="B1096" s="19">
        <v>46178</v>
      </c>
      <c r="C1096" s="20">
        <f t="shared" si="34"/>
        <v>46174</v>
      </c>
      <c r="D1096" s="17" t="s">
        <v>106</v>
      </c>
      <c r="E1096" s="17" t="s">
        <v>26</v>
      </c>
      <c r="F1096" s="17" t="s">
        <v>30</v>
      </c>
      <c r="G1096" s="21">
        <v>2</v>
      </c>
      <c r="H1096" s="12">
        <v>25.03</v>
      </c>
      <c r="I1096" s="22">
        <v>0.05</v>
      </c>
      <c r="J1096" s="12">
        <f t="shared" si="35"/>
        <v>47.56</v>
      </c>
      <c r="K1096" s="17" t="s">
        <v>59</v>
      </c>
    </row>
    <row r="1097" spans="1:11" x14ac:dyDescent="0.25">
      <c r="A1097" s="17" t="s">
        <v>1453</v>
      </c>
      <c r="B1097" s="19">
        <v>46178</v>
      </c>
      <c r="C1097" s="20">
        <f t="shared" si="34"/>
        <v>46174</v>
      </c>
      <c r="D1097" s="17" t="s">
        <v>54</v>
      </c>
      <c r="E1097" s="17" t="s">
        <v>19</v>
      </c>
      <c r="F1097" s="17" t="s">
        <v>30</v>
      </c>
      <c r="G1097" s="21">
        <v>1</v>
      </c>
      <c r="H1097" s="12">
        <v>129.07</v>
      </c>
      <c r="I1097" s="22">
        <v>0</v>
      </c>
      <c r="J1097" s="12">
        <f t="shared" si="35"/>
        <v>129.07</v>
      </c>
      <c r="K1097" s="17" t="s">
        <v>59</v>
      </c>
    </row>
    <row r="1098" spans="1:11" x14ac:dyDescent="0.25">
      <c r="A1098" s="17" t="s">
        <v>1454</v>
      </c>
      <c r="B1098" s="19">
        <v>46178</v>
      </c>
      <c r="C1098" s="20">
        <f t="shared" si="34"/>
        <v>46174</v>
      </c>
      <c r="D1098" s="17" t="s">
        <v>1103</v>
      </c>
      <c r="E1098" s="17" t="s">
        <v>22</v>
      </c>
      <c r="F1098" s="17" t="s">
        <v>30</v>
      </c>
      <c r="G1098" s="21">
        <v>1</v>
      </c>
      <c r="H1098" s="12">
        <v>98.04</v>
      </c>
      <c r="I1098" s="22">
        <v>0</v>
      </c>
      <c r="J1098" s="12">
        <f t="shared" si="35"/>
        <v>98.04</v>
      </c>
      <c r="K1098" s="17" t="s">
        <v>59</v>
      </c>
    </row>
    <row r="1099" spans="1:11" x14ac:dyDescent="0.25">
      <c r="A1099" s="17" t="s">
        <v>1455</v>
      </c>
      <c r="B1099" s="19">
        <v>46178</v>
      </c>
      <c r="C1099" s="20">
        <f t="shared" si="34"/>
        <v>46174</v>
      </c>
      <c r="D1099" s="17" t="s">
        <v>258</v>
      </c>
      <c r="E1099" s="17" t="s">
        <v>22</v>
      </c>
      <c r="F1099" s="17" t="s">
        <v>30</v>
      </c>
      <c r="G1099" s="21">
        <v>5</v>
      </c>
      <c r="H1099" s="12">
        <v>100.14</v>
      </c>
      <c r="I1099" s="22">
        <v>0</v>
      </c>
      <c r="J1099" s="12">
        <f t="shared" si="35"/>
        <v>500.7</v>
      </c>
      <c r="K1099" s="17" t="s">
        <v>59</v>
      </c>
    </row>
    <row r="1100" spans="1:11" x14ac:dyDescent="0.25">
      <c r="A1100" s="17" t="s">
        <v>1456</v>
      </c>
      <c r="B1100" s="19">
        <v>46178</v>
      </c>
      <c r="C1100" s="20">
        <f t="shared" si="34"/>
        <v>46174</v>
      </c>
      <c r="D1100" s="17" t="s">
        <v>443</v>
      </c>
      <c r="E1100" s="17" t="s">
        <v>24</v>
      </c>
      <c r="F1100" s="17" t="s">
        <v>30</v>
      </c>
      <c r="G1100" s="21">
        <v>4</v>
      </c>
      <c r="H1100" s="12">
        <v>34.020000000000003</v>
      </c>
      <c r="I1100" s="22">
        <v>0</v>
      </c>
      <c r="J1100" s="12">
        <f t="shared" si="35"/>
        <v>136.08000000000001</v>
      </c>
      <c r="K1100" s="17" t="s">
        <v>59</v>
      </c>
    </row>
    <row r="1101" spans="1:11" x14ac:dyDescent="0.25">
      <c r="A1101" s="17" t="s">
        <v>1457</v>
      </c>
      <c r="B1101" s="19">
        <v>46178</v>
      </c>
      <c r="C1101" s="20">
        <f t="shared" si="34"/>
        <v>46174</v>
      </c>
      <c r="D1101" s="17" t="s">
        <v>210</v>
      </c>
      <c r="E1101" s="17" t="s">
        <v>17</v>
      </c>
      <c r="F1101" s="17" t="s">
        <v>30</v>
      </c>
      <c r="G1101" s="21">
        <v>5</v>
      </c>
      <c r="H1101" s="12">
        <v>219.83</v>
      </c>
      <c r="I1101" s="22">
        <v>0.1</v>
      </c>
      <c r="J1101" s="12">
        <f t="shared" si="35"/>
        <v>989.24</v>
      </c>
      <c r="K1101" s="17" t="s">
        <v>43</v>
      </c>
    </row>
    <row r="1102" spans="1:11" x14ac:dyDescent="0.25">
      <c r="A1102" s="17" t="s">
        <v>1458</v>
      </c>
      <c r="B1102" s="19">
        <v>46178</v>
      </c>
      <c r="C1102" s="20">
        <f t="shared" si="34"/>
        <v>46174</v>
      </c>
      <c r="D1102" s="17" t="s">
        <v>116</v>
      </c>
      <c r="E1102" s="17" t="s">
        <v>18</v>
      </c>
      <c r="F1102" s="17" t="s">
        <v>31</v>
      </c>
      <c r="G1102" s="21">
        <v>2</v>
      </c>
      <c r="H1102" s="12">
        <v>147.57</v>
      </c>
      <c r="I1102" s="22">
        <v>0.05</v>
      </c>
      <c r="J1102" s="12">
        <f t="shared" si="35"/>
        <v>280.38</v>
      </c>
      <c r="K1102" s="17" t="s">
        <v>48</v>
      </c>
    </row>
    <row r="1103" spans="1:11" x14ac:dyDescent="0.25">
      <c r="A1103" s="17" t="s">
        <v>1459</v>
      </c>
      <c r="B1103" s="19">
        <v>46178</v>
      </c>
      <c r="C1103" s="20">
        <f t="shared" si="34"/>
        <v>46174</v>
      </c>
      <c r="D1103" s="17" t="s">
        <v>1277</v>
      </c>
      <c r="E1103" s="17" t="s">
        <v>24</v>
      </c>
      <c r="F1103" s="17" t="s">
        <v>31</v>
      </c>
      <c r="G1103" s="21">
        <v>2</v>
      </c>
      <c r="H1103" s="12">
        <v>35.799999999999997</v>
      </c>
      <c r="I1103" s="22">
        <v>0</v>
      </c>
      <c r="J1103" s="12">
        <f t="shared" si="35"/>
        <v>71.599999999999994</v>
      </c>
      <c r="K1103" s="17" t="s">
        <v>48</v>
      </c>
    </row>
    <row r="1104" spans="1:11" x14ac:dyDescent="0.25">
      <c r="A1104" s="17" t="s">
        <v>1460</v>
      </c>
      <c r="B1104" s="19">
        <v>46179</v>
      </c>
      <c r="C1104" s="20">
        <f t="shared" si="34"/>
        <v>46174</v>
      </c>
      <c r="D1104" s="17" t="s">
        <v>1461</v>
      </c>
      <c r="E1104" s="17" t="s">
        <v>20</v>
      </c>
      <c r="F1104" s="17" t="s">
        <v>30</v>
      </c>
      <c r="G1104" s="21">
        <v>1</v>
      </c>
      <c r="H1104" s="12">
        <v>87.5</v>
      </c>
      <c r="I1104" s="22">
        <v>0</v>
      </c>
      <c r="J1104" s="12">
        <f t="shared" si="35"/>
        <v>87.5</v>
      </c>
      <c r="K1104" s="17" t="s">
        <v>59</v>
      </c>
    </row>
    <row r="1105" spans="1:11" x14ac:dyDescent="0.25">
      <c r="A1105" s="17" t="s">
        <v>1462</v>
      </c>
      <c r="B1105" s="19">
        <v>46179</v>
      </c>
      <c r="C1105" s="20">
        <f t="shared" si="34"/>
        <v>46174</v>
      </c>
      <c r="D1105" s="17" t="s">
        <v>677</v>
      </c>
      <c r="E1105" s="17" t="s">
        <v>20</v>
      </c>
      <c r="F1105" s="17" t="s">
        <v>30</v>
      </c>
      <c r="G1105" s="21">
        <v>3</v>
      </c>
      <c r="H1105" s="12">
        <v>87.73</v>
      </c>
      <c r="I1105" s="22">
        <v>0</v>
      </c>
      <c r="J1105" s="12">
        <f t="shared" si="35"/>
        <v>263.19</v>
      </c>
      <c r="K1105" s="17" t="s">
        <v>43</v>
      </c>
    </row>
    <row r="1106" spans="1:11" x14ac:dyDescent="0.25">
      <c r="A1106" s="17" t="s">
        <v>1463</v>
      </c>
      <c r="B1106" s="19">
        <v>46179</v>
      </c>
      <c r="C1106" s="20">
        <f t="shared" si="34"/>
        <v>46174</v>
      </c>
      <c r="D1106" s="17" t="s">
        <v>960</v>
      </c>
      <c r="E1106" s="17" t="s">
        <v>20</v>
      </c>
      <c r="F1106" s="17" t="s">
        <v>31</v>
      </c>
      <c r="G1106" s="21">
        <v>4</v>
      </c>
      <c r="H1106" s="12">
        <v>89.18</v>
      </c>
      <c r="I1106" s="22">
        <v>0.05</v>
      </c>
      <c r="J1106" s="12">
        <f t="shared" si="35"/>
        <v>338.88</v>
      </c>
      <c r="K1106" s="17" t="s">
        <v>48</v>
      </c>
    </row>
    <row r="1107" spans="1:11" x14ac:dyDescent="0.25">
      <c r="A1107" s="17" t="s">
        <v>1464</v>
      </c>
      <c r="B1107" s="19">
        <v>46179</v>
      </c>
      <c r="C1107" s="20">
        <f t="shared" si="34"/>
        <v>46174</v>
      </c>
      <c r="D1107" s="17" t="s">
        <v>916</v>
      </c>
      <c r="E1107" s="17" t="s">
        <v>26</v>
      </c>
      <c r="F1107" s="17" t="s">
        <v>31</v>
      </c>
      <c r="G1107" s="21">
        <v>1</v>
      </c>
      <c r="H1107" s="12">
        <v>24.16</v>
      </c>
      <c r="I1107" s="22">
        <v>0</v>
      </c>
      <c r="J1107" s="12">
        <f t="shared" si="35"/>
        <v>24.16</v>
      </c>
      <c r="K1107" s="17" t="s">
        <v>48</v>
      </c>
    </row>
    <row r="1108" spans="1:11" x14ac:dyDescent="0.25">
      <c r="A1108" s="17" t="s">
        <v>1465</v>
      </c>
      <c r="B1108" s="19">
        <v>46179</v>
      </c>
      <c r="C1108" s="20">
        <f t="shared" si="34"/>
        <v>46174</v>
      </c>
      <c r="D1108" s="17" t="s">
        <v>429</v>
      </c>
      <c r="E1108" s="17" t="s">
        <v>21</v>
      </c>
      <c r="F1108" s="17" t="s">
        <v>31</v>
      </c>
      <c r="G1108" s="21">
        <v>2</v>
      </c>
      <c r="H1108" s="12">
        <v>79.66</v>
      </c>
      <c r="I1108" s="22">
        <v>0</v>
      </c>
      <c r="J1108" s="12">
        <f t="shared" si="35"/>
        <v>159.32</v>
      </c>
      <c r="K1108" s="17" t="s">
        <v>48</v>
      </c>
    </row>
    <row r="1109" spans="1:11" x14ac:dyDescent="0.25">
      <c r="A1109" s="17" t="s">
        <v>1466</v>
      </c>
      <c r="B1109" s="19">
        <v>46179</v>
      </c>
      <c r="C1109" s="20">
        <f t="shared" si="34"/>
        <v>46174</v>
      </c>
      <c r="D1109" s="17" t="s">
        <v>546</v>
      </c>
      <c r="E1109" s="17" t="s">
        <v>27</v>
      </c>
      <c r="F1109" s="17" t="s">
        <v>31</v>
      </c>
      <c r="G1109" s="21">
        <v>4</v>
      </c>
      <c r="H1109" s="12">
        <v>13.36</v>
      </c>
      <c r="I1109" s="22">
        <v>0.05</v>
      </c>
      <c r="J1109" s="12">
        <f t="shared" si="35"/>
        <v>50.77</v>
      </c>
      <c r="K1109" s="17" t="s">
        <v>48</v>
      </c>
    </row>
    <row r="1110" spans="1:11" x14ac:dyDescent="0.25">
      <c r="A1110" s="17" t="s">
        <v>1467</v>
      </c>
      <c r="B1110" s="19">
        <v>46180</v>
      </c>
      <c r="C1110" s="20">
        <f t="shared" si="34"/>
        <v>46174</v>
      </c>
      <c r="D1110" s="17" t="s">
        <v>227</v>
      </c>
      <c r="E1110" s="17" t="s">
        <v>27</v>
      </c>
      <c r="F1110" s="17" t="s">
        <v>30</v>
      </c>
      <c r="G1110" s="21">
        <v>1</v>
      </c>
      <c r="H1110" s="12">
        <v>12.86</v>
      </c>
      <c r="I1110" s="22">
        <v>0.15</v>
      </c>
      <c r="J1110" s="12">
        <f t="shared" si="35"/>
        <v>10.93</v>
      </c>
      <c r="K1110" s="17" t="s">
        <v>59</v>
      </c>
    </row>
    <row r="1111" spans="1:11" x14ac:dyDescent="0.25">
      <c r="A1111" s="17" t="s">
        <v>1468</v>
      </c>
      <c r="B1111" s="19">
        <v>46180</v>
      </c>
      <c r="C1111" s="20">
        <f t="shared" si="34"/>
        <v>46174</v>
      </c>
      <c r="D1111" s="17" t="s">
        <v>54</v>
      </c>
      <c r="E1111" s="17" t="s">
        <v>26</v>
      </c>
      <c r="F1111" s="17" t="s">
        <v>30</v>
      </c>
      <c r="G1111" s="21">
        <v>5</v>
      </c>
      <c r="H1111" s="12">
        <v>23.94</v>
      </c>
      <c r="I1111" s="22">
        <v>0.15</v>
      </c>
      <c r="J1111" s="12">
        <f t="shared" si="35"/>
        <v>101.75</v>
      </c>
      <c r="K1111" s="17" t="s">
        <v>43</v>
      </c>
    </row>
    <row r="1112" spans="1:11" x14ac:dyDescent="0.25">
      <c r="A1112" s="17" t="s">
        <v>1469</v>
      </c>
      <c r="B1112" s="19">
        <v>46180</v>
      </c>
      <c r="C1112" s="20">
        <f t="shared" si="34"/>
        <v>46174</v>
      </c>
      <c r="D1112" s="17" t="s">
        <v>404</v>
      </c>
      <c r="E1112" s="17" t="s">
        <v>17</v>
      </c>
      <c r="F1112" s="17" t="s">
        <v>30</v>
      </c>
      <c r="G1112" s="21">
        <v>2</v>
      </c>
      <c r="H1112" s="12">
        <v>215.38</v>
      </c>
      <c r="I1112" s="22">
        <v>0.15</v>
      </c>
      <c r="J1112" s="12">
        <f t="shared" si="35"/>
        <v>366.15</v>
      </c>
      <c r="K1112" s="17" t="s">
        <v>43</v>
      </c>
    </row>
    <row r="1113" spans="1:11" x14ac:dyDescent="0.25">
      <c r="A1113" s="17" t="s">
        <v>1470</v>
      </c>
      <c r="B1113" s="19">
        <v>46180</v>
      </c>
      <c r="C1113" s="20">
        <f t="shared" si="34"/>
        <v>46174</v>
      </c>
      <c r="D1113" s="17" t="s">
        <v>694</v>
      </c>
      <c r="E1113" s="17" t="s">
        <v>22</v>
      </c>
      <c r="F1113" s="17" t="s">
        <v>31</v>
      </c>
      <c r="G1113" s="21">
        <v>2</v>
      </c>
      <c r="H1113" s="12">
        <v>99.26</v>
      </c>
      <c r="I1113" s="22">
        <v>0.1</v>
      </c>
      <c r="J1113" s="12">
        <f t="shared" si="35"/>
        <v>178.67</v>
      </c>
      <c r="K1113" s="17" t="s">
        <v>48</v>
      </c>
    </row>
    <row r="1114" spans="1:11" x14ac:dyDescent="0.25">
      <c r="A1114" s="17" t="s">
        <v>1471</v>
      </c>
      <c r="B1114" s="19">
        <v>46180</v>
      </c>
      <c r="C1114" s="20">
        <f t="shared" si="34"/>
        <v>46174</v>
      </c>
      <c r="D1114" s="17" t="s">
        <v>50</v>
      </c>
      <c r="E1114" s="17" t="s">
        <v>23</v>
      </c>
      <c r="F1114" s="17" t="s">
        <v>31</v>
      </c>
      <c r="G1114" s="21">
        <v>1</v>
      </c>
      <c r="H1114" s="12">
        <v>58.28</v>
      </c>
      <c r="I1114" s="22">
        <v>0.05</v>
      </c>
      <c r="J1114" s="12">
        <f t="shared" si="35"/>
        <v>55.37</v>
      </c>
      <c r="K1114" s="17" t="s">
        <v>48</v>
      </c>
    </row>
    <row r="1115" spans="1:11" x14ac:dyDescent="0.25">
      <c r="A1115" s="17" t="s">
        <v>1472</v>
      </c>
      <c r="B1115" s="19">
        <v>46181</v>
      </c>
      <c r="C1115" s="20">
        <f t="shared" si="34"/>
        <v>46174</v>
      </c>
      <c r="D1115" s="17" t="s">
        <v>237</v>
      </c>
      <c r="E1115" s="17" t="s">
        <v>21</v>
      </c>
      <c r="F1115" s="17" t="s">
        <v>30</v>
      </c>
      <c r="G1115" s="21">
        <v>1</v>
      </c>
      <c r="H1115" s="12">
        <v>80.33</v>
      </c>
      <c r="I1115" s="22">
        <v>0</v>
      </c>
      <c r="J1115" s="12">
        <f t="shared" si="35"/>
        <v>80.33</v>
      </c>
      <c r="K1115" s="17" t="s">
        <v>59</v>
      </c>
    </row>
    <row r="1116" spans="1:11" x14ac:dyDescent="0.25">
      <c r="A1116" s="17" t="s">
        <v>1473</v>
      </c>
      <c r="B1116" s="19">
        <v>46181</v>
      </c>
      <c r="C1116" s="20">
        <f t="shared" si="34"/>
        <v>46174</v>
      </c>
      <c r="D1116" s="17" t="s">
        <v>214</v>
      </c>
      <c r="E1116" s="17" t="s">
        <v>24</v>
      </c>
      <c r="F1116" s="17" t="s">
        <v>30</v>
      </c>
      <c r="G1116" s="21">
        <v>3</v>
      </c>
      <c r="H1116" s="12">
        <v>35.9</v>
      </c>
      <c r="I1116" s="22">
        <v>0</v>
      </c>
      <c r="J1116" s="12">
        <f t="shared" si="35"/>
        <v>107.7</v>
      </c>
      <c r="K1116" s="17" t="s">
        <v>43</v>
      </c>
    </row>
    <row r="1117" spans="1:11" x14ac:dyDescent="0.25">
      <c r="A1117" s="17" t="s">
        <v>1474</v>
      </c>
      <c r="B1117" s="19">
        <v>46181</v>
      </c>
      <c r="C1117" s="20">
        <f t="shared" si="34"/>
        <v>46174</v>
      </c>
      <c r="D1117" s="17" t="s">
        <v>244</v>
      </c>
      <c r="E1117" s="17" t="s">
        <v>17</v>
      </c>
      <c r="F1117" s="17" t="s">
        <v>31</v>
      </c>
      <c r="G1117" s="21">
        <v>1</v>
      </c>
      <c r="H1117" s="12">
        <v>219.05</v>
      </c>
      <c r="I1117" s="22">
        <v>0.05</v>
      </c>
      <c r="J1117" s="12">
        <f t="shared" si="35"/>
        <v>208.1</v>
      </c>
      <c r="K1117" s="17" t="s">
        <v>48</v>
      </c>
    </row>
    <row r="1118" spans="1:11" x14ac:dyDescent="0.25">
      <c r="A1118" s="17" t="s">
        <v>1475</v>
      </c>
      <c r="B1118" s="19">
        <v>46181</v>
      </c>
      <c r="C1118" s="20">
        <f t="shared" si="34"/>
        <v>46174</v>
      </c>
      <c r="D1118" s="17" t="s">
        <v>392</v>
      </c>
      <c r="E1118" s="17" t="s">
        <v>17</v>
      </c>
      <c r="F1118" s="17" t="s">
        <v>31</v>
      </c>
      <c r="G1118" s="21">
        <v>1</v>
      </c>
      <c r="H1118" s="12">
        <v>218.27</v>
      </c>
      <c r="I1118" s="22">
        <v>0.05</v>
      </c>
      <c r="J1118" s="12">
        <f t="shared" si="35"/>
        <v>207.36</v>
      </c>
      <c r="K1118" s="17" t="s">
        <v>48</v>
      </c>
    </row>
    <row r="1119" spans="1:11" x14ac:dyDescent="0.25">
      <c r="A1119" s="17" t="s">
        <v>1476</v>
      </c>
      <c r="B1119" s="19">
        <v>46181</v>
      </c>
      <c r="C1119" s="20">
        <f t="shared" si="34"/>
        <v>46174</v>
      </c>
      <c r="D1119" s="17" t="s">
        <v>342</v>
      </c>
      <c r="E1119" s="17" t="s">
        <v>27</v>
      </c>
      <c r="F1119" s="17" t="s">
        <v>31</v>
      </c>
      <c r="G1119" s="21">
        <v>2</v>
      </c>
      <c r="H1119" s="12">
        <v>13.01</v>
      </c>
      <c r="I1119" s="22">
        <v>0</v>
      </c>
      <c r="J1119" s="12">
        <f t="shared" si="35"/>
        <v>26.02</v>
      </c>
      <c r="K1119" s="17" t="s">
        <v>48</v>
      </c>
    </row>
    <row r="1120" spans="1:11" x14ac:dyDescent="0.25">
      <c r="A1120" s="17" t="s">
        <v>1477</v>
      </c>
      <c r="B1120" s="19">
        <v>46182</v>
      </c>
      <c r="C1120" s="20">
        <f t="shared" si="34"/>
        <v>46174</v>
      </c>
      <c r="D1120" s="17" t="s">
        <v>763</v>
      </c>
      <c r="E1120" s="17" t="s">
        <v>26</v>
      </c>
      <c r="F1120" s="17" t="s">
        <v>30</v>
      </c>
      <c r="G1120" s="21">
        <v>2</v>
      </c>
      <c r="H1120" s="12">
        <v>24.48</v>
      </c>
      <c r="I1120" s="22">
        <v>0.15</v>
      </c>
      <c r="J1120" s="12">
        <f t="shared" si="35"/>
        <v>41.62</v>
      </c>
      <c r="K1120" s="17" t="s">
        <v>59</v>
      </c>
    </row>
    <row r="1121" spans="1:11" x14ac:dyDescent="0.25">
      <c r="A1121" s="17" t="s">
        <v>1478</v>
      </c>
      <c r="B1121" s="19">
        <v>46182</v>
      </c>
      <c r="C1121" s="20">
        <f t="shared" si="34"/>
        <v>46174</v>
      </c>
      <c r="D1121" s="17" t="s">
        <v>285</v>
      </c>
      <c r="E1121" s="17" t="s">
        <v>26</v>
      </c>
      <c r="F1121" s="17" t="s">
        <v>30</v>
      </c>
      <c r="G1121" s="21">
        <v>1</v>
      </c>
      <c r="H1121" s="12">
        <v>24.8</v>
      </c>
      <c r="I1121" s="22">
        <v>0</v>
      </c>
      <c r="J1121" s="12">
        <f t="shared" si="35"/>
        <v>24.8</v>
      </c>
      <c r="K1121" s="17" t="s">
        <v>59</v>
      </c>
    </row>
    <row r="1122" spans="1:11" x14ac:dyDescent="0.25">
      <c r="A1122" s="17" t="s">
        <v>1479</v>
      </c>
      <c r="B1122" s="19">
        <v>46182</v>
      </c>
      <c r="C1122" s="20">
        <f t="shared" si="34"/>
        <v>46174</v>
      </c>
      <c r="D1122" s="17" t="s">
        <v>494</v>
      </c>
      <c r="E1122" s="17" t="s">
        <v>19</v>
      </c>
      <c r="F1122" s="17" t="s">
        <v>30</v>
      </c>
      <c r="G1122" s="21">
        <v>5</v>
      </c>
      <c r="H1122" s="12">
        <v>127.55</v>
      </c>
      <c r="I1122" s="22">
        <v>0.1</v>
      </c>
      <c r="J1122" s="12">
        <f t="shared" si="35"/>
        <v>573.98</v>
      </c>
      <c r="K1122" s="17" t="s">
        <v>43</v>
      </c>
    </row>
    <row r="1123" spans="1:11" x14ac:dyDescent="0.25">
      <c r="A1123" s="17" t="s">
        <v>1480</v>
      </c>
      <c r="B1123" s="19">
        <v>46182</v>
      </c>
      <c r="C1123" s="20">
        <f t="shared" si="34"/>
        <v>46174</v>
      </c>
      <c r="D1123" s="17" t="s">
        <v>78</v>
      </c>
      <c r="E1123" s="17" t="s">
        <v>25</v>
      </c>
      <c r="F1123" s="17" t="s">
        <v>30</v>
      </c>
      <c r="G1123" s="21">
        <v>1</v>
      </c>
      <c r="H1123" s="12">
        <v>30.13</v>
      </c>
      <c r="I1123" s="22">
        <v>0.05</v>
      </c>
      <c r="J1123" s="12">
        <f t="shared" si="35"/>
        <v>28.62</v>
      </c>
      <c r="K1123" s="17" t="s">
        <v>43</v>
      </c>
    </row>
    <row r="1124" spans="1:11" x14ac:dyDescent="0.25">
      <c r="A1124" s="17" t="s">
        <v>1481</v>
      </c>
      <c r="B1124" s="19">
        <v>46182</v>
      </c>
      <c r="C1124" s="20">
        <f t="shared" si="34"/>
        <v>46174</v>
      </c>
      <c r="D1124" s="17" t="s">
        <v>242</v>
      </c>
      <c r="E1124" s="17" t="s">
        <v>25</v>
      </c>
      <c r="F1124" s="17" t="s">
        <v>31</v>
      </c>
      <c r="G1124" s="21">
        <v>1</v>
      </c>
      <c r="H1124" s="12">
        <v>29.5</v>
      </c>
      <c r="I1124" s="22">
        <v>0.15</v>
      </c>
      <c r="J1124" s="12">
        <f t="shared" si="35"/>
        <v>25.08</v>
      </c>
      <c r="K1124" s="17" t="s">
        <v>48</v>
      </c>
    </row>
    <row r="1125" spans="1:11" x14ac:dyDescent="0.25">
      <c r="A1125" s="17" t="s">
        <v>1482</v>
      </c>
      <c r="B1125" s="19">
        <v>46183</v>
      </c>
      <c r="C1125" s="20">
        <f t="shared" si="34"/>
        <v>46174</v>
      </c>
      <c r="D1125" s="17" t="s">
        <v>58</v>
      </c>
      <c r="E1125" s="17" t="s">
        <v>24</v>
      </c>
      <c r="F1125" s="17" t="s">
        <v>30</v>
      </c>
      <c r="G1125" s="21">
        <v>2</v>
      </c>
      <c r="H1125" s="12">
        <v>34.549999999999997</v>
      </c>
      <c r="I1125" s="22">
        <v>0.1</v>
      </c>
      <c r="J1125" s="12">
        <f t="shared" si="35"/>
        <v>62.19</v>
      </c>
      <c r="K1125" s="17" t="s">
        <v>59</v>
      </c>
    </row>
    <row r="1126" spans="1:11" x14ac:dyDescent="0.25">
      <c r="A1126" s="17" t="s">
        <v>1483</v>
      </c>
      <c r="B1126" s="19">
        <v>46183</v>
      </c>
      <c r="C1126" s="20">
        <f t="shared" si="34"/>
        <v>46174</v>
      </c>
      <c r="D1126" s="17" t="s">
        <v>122</v>
      </c>
      <c r="E1126" s="17" t="s">
        <v>19</v>
      </c>
      <c r="F1126" s="17" t="s">
        <v>30</v>
      </c>
      <c r="G1126" s="21">
        <v>1</v>
      </c>
      <c r="H1126" s="12">
        <v>132.16999999999999</v>
      </c>
      <c r="I1126" s="22">
        <v>0.1</v>
      </c>
      <c r="J1126" s="12">
        <f t="shared" si="35"/>
        <v>118.95</v>
      </c>
      <c r="K1126" s="17" t="s">
        <v>59</v>
      </c>
    </row>
    <row r="1127" spans="1:11" x14ac:dyDescent="0.25">
      <c r="A1127" s="17" t="s">
        <v>1484</v>
      </c>
      <c r="B1127" s="19">
        <v>46183</v>
      </c>
      <c r="C1127" s="20">
        <f t="shared" si="34"/>
        <v>46174</v>
      </c>
      <c r="D1127" s="17" t="s">
        <v>94</v>
      </c>
      <c r="E1127" s="17" t="s">
        <v>19</v>
      </c>
      <c r="F1127" s="17" t="s">
        <v>30</v>
      </c>
      <c r="G1127" s="21">
        <v>2</v>
      </c>
      <c r="H1127" s="12">
        <v>129.63999999999999</v>
      </c>
      <c r="I1127" s="22">
        <v>0.05</v>
      </c>
      <c r="J1127" s="12">
        <f t="shared" si="35"/>
        <v>246.32</v>
      </c>
      <c r="K1127" s="17" t="s">
        <v>59</v>
      </c>
    </row>
    <row r="1128" spans="1:11" x14ac:dyDescent="0.25">
      <c r="A1128" s="17" t="s">
        <v>1485</v>
      </c>
      <c r="B1128" s="19">
        <v>46183</v>
      </c>
      <c r="C1128" s="20">
        <f t="shared" si="34"/>
        <v>46174</v>
      </c>
      <c r="D1128" s="17" t="s">
        <v>310</v>
      </c>
      <c r="E1128" s="17" t="s">
        <v>24</v>
      </c>
      <c r="F1128" s="17" t="s">
        <v>30</v>
      </c>
      <c r="G1128" s="21">
        <v>1</v>
      </c>
      <c r="H1128" s="12">
        <v>34.729999999999997</v>
      </c>
      <c r="I1128" s="22">
        <v>0.05</v>
      </c>
      <c r="J1128" s="12">
        <f t="shared" si="35"/>
        <v>32.99</v>
      </c>
      <c r="K1128" s="17" t="s">
        <v>59</v>
      </c>
    </row>
    <row r="1129" spans="1:11" x14ac:dyDescent="0.25">
      <c r="A1129" s="17" t="s">
        <v>1486</v>
      </c>
      <c r="B1129" s="19">
        <v>46183</v>
      </c>
      <c r="C1129" s="20">
        <f t="shared" si="34"/>
        <v>46174</v>
      </c>
      <c r="D1129" s="17" t="s">
        <v>419</v>
      </c>
      <c r="E1129" s="17" t="s">
        <v>21</v>
      </c>
      <c r="F1129" s="17" t="s">
        <v>30</v>
      </c>
      <c r="G1129" s="21">
        <v>1</v>
      </c>
      <c r="H1129" s="12">
        <v>80.75</v>
      </c>
      <c r="I1129" s="22">
        <v>0.05</v>
      </c>
      <c r="J1129" s="12">
        <f t="shared" si="35"/>
        <v>76.709999999999994</v>
      </c>
      <c r="K1129" s="17" t="s">
        <v>59</v>
      </c>
    </row>
    <row r="1130" spans="1:11" x14ac:dyDescent="0.25">
      <c r="A1130" s="17" t="s">
        <v>1487</v>
      </c>
      <c r="B1130" s="19">
        <v>46183</v>
      </c>
      <c r="C1130" s="20">
        <f t="shared" si="34"/>
        <v>46174</v>
      </c>
      <c r="D1130" s="17" t="s">
        <v>137</v>
      </c>
      <c r="E1130" s="17" t="s">
        <v>27</v>
      </c>
      <c r="F1130" s="17" t="s">
        <v>30</v>
      </c>
      <c r="G1130" s="21">
        <v>3</v>
      </c>
      <c r="H1130" s="12">
        <v>12.85</v>
      </c>
      <c r="I1130" s="22">
        <v>0</v>
      </c>
      <c r="J1130" s="12">
        <f t="shared" si="35"/>
        <v>38.549999999999997</v>
      </c>
      <c r="K1130" s="17" t="s">
        <v>59</v>
      </c>
    </row>
    <row r="1131" spans="1:11" x14ac:dyDescent="0.25">
      <c r="A1131" s="17" t="s">
        <v>1488</v>
      </c>
      <c r="B1131" s="19">
        <v>46183</v>
      </c>
      <c r="C1131" s="20">
        <f t="shared" si="34"/>
        <v>46174</v>
      </c>
      <c r="D1131" s="17" t="s">
        <v>327</v>
      </c>
      <c r="E1131" s="17" t="s">
        <v>16</v>
      </c>
      <c r="F1131" s="17" t="s">
        <v>30</v>
      </c>
      <c r="G1131" s="21">
        <v>2</v>
      </c>
      <c r="H1131" s="12">
        <v>241.68</v>
      </c>
      <c r="I1131" s="22">
        <v>0.15</v>
      </c>
      <c r="J1131" s="12">
        <f t="shared" si="35"/>
        <v>410.86</v>
      </c>
      <c r="K1131" s="17" t="s">
        <v>59</v>
      </c>
    </row>
    <row r="1132" spans="1:11" x14ac:dyDescent="0.25">
      <c r="A1132" s="17" t="s">
        <v>1489</v>
      </c>
      <c r="B1132" s="19">
        <v>46183</v>
      </c>
      <c r="C1132" s="20">
        <f t="shared" si="34"/>
        <v>46174</v>
      </c>
      <c r="D1132" s="17" t="s">
        <v>485</v>
      </c>
      <c r="E1132" s="17" t="s">
        <v>27</v>
      </c>
      <c r="F1132" s="17" t="s">
        <v>30</v>
      </c>
      <c r="G1132" s="21">
        <v>2</v>
      </c>
      <c r="H1132" s="12">
        <v>12.79</v>
      </c>
      <c r="I1132" s="22">
        <v>0</v>
      </c>
      <c r="J1132" s="12">
        <f t="shared" si="35"/>
        <v>25.58</v>
      </c>
      <c r="K1132" s="17" t="s">
        <v>43</v>
      </c>
    </row>
    <row r="1133" spans="1:11" x14ac:dyDescent="0.25">
      <c r="A1133" s="17" t="s">
        <v>1490</v>
      </c>
      <c r="B1133" s="19">
        <v>46183</v>
      </c>
      <c r="C1133" s="20">
        <f t="shared" si="34"/>
        <v>46174</v>
      </c>
      <c r="D1133" s="17" t="s">
        <v>845</v>
      </c>
      <c r="E1133" s="17" t="s">
        <v>24</v>
      </c>
      <c r="F1133" s="17" t="s">
        <v>31</v>
      </c>
      <c r="G1133" s="21">
        <v>4</v>
      </c>
      <c r="H1133" s="12">
        <v>34.020000000000003</v>
      </c>
      <c r="I1133" s="22">
        <v>0.1</v>
      </c>
      <c r="J1133" s="12">
        <f t="shared" si="35"/>
        <v>122.47</v>
      </c>
      <c r="K1133" s="17" t="s">
        <v>48</v>
      </c>
    </row>
    <row r="1134" spans="1:11" x14ac:dyDescent="0.25">
      <c r="A1134" s="17" t="s">
        <v>1491</v>
      </c>
      <c r="B1134" s="19">
        <v>46184</v>
      </c>
      <c r="C1134" s="20">
        <f t="shared" si="34"/>
        <v>46174</v>
      </c>
      <c r="D1134" s="17" t="s">
        <v>112</v>
      </c>
      <c r="E1134" s="17" t="s">
        <v>22</v>
      </c>
      <c r="F1134" s="17" t="s">
        <v>30</v>
      </c>
      <c r="G1134" s="21">
        <v>1</v>
      </c>
      <c r="H1134" s="12">
        <v>100.21</v>
      </c>
      <c r="I1134" s="22">
        <v>0</v>
      </c>
      <c r="J1134" s="12">
        <f t="shared" si="35"/>
        <v>100.21</v>
      </c>
      <c r="K1134" s="17" t="s">
        <v>59</v>
      </c>
    </row>
    <row r="1135" spans="1:11" x14ac:dyDescent="0.25">
      <c r="A1135" s="17" t="s">
        <v>1492</v>
      </c>
      <c r="B1135" s="19">
        <v>46184</v>
      </c>
      <c r="C1135" s="20">
        <f t="shared" si="34"/>
        <v>46174</v>
      </c>
      <c r="D1135" s="17" t="s">
        <v>47</v>
      </c>
      <c r="E1135" s="17" t="s">
        <v>27</v>
      </c>
      <c r="F1135" s="17" t="s">
        <v>30</v>
      </c>
      <c r="G1135" s="21">
        <v>2</v>
      </c>
      <c r="H1135" s="12">
        <v>13.16</v>
      </c>
      <c r="I1135" s="22">
        <v>0</v>
      </c>
      <c r="J1135" s="12">
        <f t="shared" si="35"/>
        <v>26.32</v>
      </c>
      <c r="K1135" s="17" t="s">
        <v>59</v>
      </c>
    </row>
    <row r="1136" spans="1:11" x14ac:dyDescent="0.25">
      <c r="A1136" s="17" t="s">
        <v>1493</v>
      </c>
      <c r="B1136" s="19">
        <v>46184</v>
      </c>
      <c r="C1136" s="20">
        <f t="shared" si="34"/>
        <v>46174</v>
      </c>
      <c r="D1136" s="17" t="s">
        <v>342</v>
      </c>
      <c r="E1136" s="17" t="s">
        <v>20</v>
      </c>
      <c r="F1136" s="17" t="s">
        <v>30</v>
      </c>
      <c r="G1136" s="21">
        <v>4</v>
      </c>
      <c r="H1136" s="12">
        <v>90.49</v>
      </c>
      <c r="I1136" s="22">
        <v>0.05</v>
      </c>
      <c r="J1136" s="12">
        <f t="shared" si="35"/>
        <v>343.86</v>
      </c>
      <c r="K1136" s="17" t="s">
        <v>59</v>
      </c>
    </row>
    <row r="1137" spans="1:11" x14ac:dyDescent="0.25">
      <c r="A1137" s="17" t="s">
        <v>1494</v>
      </c>
      <c r="B1137" s="19">
        <v>46184</v>
      </c>
      <c r="C1137" s="20">
        <f t="shared" si="34"/>
        <v>46174</v>
      </c>
      <c r="D1137" s="17" t="s">
        <v>832</v>
      </c>
      <c r="E1137" s="17" t="s">
        <v>25</v>
      </c>
      <c r="F1137" s="17" t="s">
        <v>30</v>
      </c>
      <c r="G1137" s="21">
        <v>1</v>
      </c>
      <c r="H1137" s="12">
        <v>30.05</v>
      </c>
      <c r="I1137" s="22">
        <v>0</v>
      </c>
      <c r="J1137" s="12">
        <f t="shared" si="35"/>
        <v>30.05</v>
      </c>
      <c r="K1137" s="17" t="s">
        <v>59</v>
      </c>
    </row>
    <row r="1138" spans="1:11" x14ac:dyDescent="0.25">
      <c r="A1138" s="17" t="s">
        <v>1495</v>
      </c>
      <c r="B1138" s="19">
        <v>46184</v>
      </c>
      <c r="C1138" s="20">
        <f t="shared" si="34"/>
        <v>46174</v>
      </c>
      <c r="D1138" s="17" t="s">
        <v>312</v>
      </c>
      <c r="E1138" s="17" t="s">
        <v>24</v>
      </c>
      <c r="F1138" s="17" t="s">
        <v>30</v>
      </c>
      <c r="G1138" s="21">
        <v>5</v>
      </c>
      <c r="H1138" s="12">
        <v>35.44</v>
      </c>
      <c r="I1138" s="22">
        <v>0</v>
      </c>
      <c r="J1138" s="12">
        <f t="shared" si="35"/>
        <v>177.2</v>
      </c>
      <c r="K1138" s="17" t="s">
        <v>59</v>
      </c>
    </row>
    <row r="1139" spans="1:11" x14ac:dyDescent="0.25">
      <c r="A1139" s="17" t="s">
        <v>1496</v>
      </c>
      <c r="B1139" s="19">
        <v>46184</v>
      </c>
      <c r="C1139" s="20">
        <f t="shared" si="34"/>
        <v>46174</v>
      </c>
      <c r="D1139" s="17" t="s">
        <v>131</v>
      </c>
      <c r="E1139" s="17" t="s">
        <v>20</v>
      </c>
      <c r="F1139" s="17" t="s">
        <v>30</v>
      </c>
      <c r="G1139" s="21">
        <v>2</v>
      </c>
      <c r="H1139" s="12">
        <v>87.15</v>
      </c>
      <c r="I1139" s="22">
        <v>0</v>
      </c>
      <c r="J1139" s="12">
        <f t="shared" si="35"/>
        <v>174.3</v>
      </c>
      <c r="K1139" s="17" t="s">
        <v>43</v>
      </c>
    </row>
    <row r="1140" spans="1:11" x14ac:dyDescent="0.25">
      <c r="A1140" s="17" t="s">
        <v>1497</v>
      </c>
      <c r="B1140" s="19">
        <v>46184</v>
      </c>
      <c r="C1140" s="20">
        <f t="shared" si="34"/>
        <v>46174</v>
      </c>
      <c r="D1140" s="17" t="s">
        <v>934</v>
      </c>
      <c r="E1140" s="17" t="s">
        <v>18</v>
      </c>
      <c r="F1140" s="17" t="s">
        <v>30</v>
      </c>
      <c r="G1140" s="21">
        <v>3</v>
      </c>
      <c r="H1140" s="12">
        <v>145.1</v>
      </c>
      <c r="I1140" s="22">
        <v>0.15</v>
      </c>
      <c r="J1140" s="12">
        <f t="shared" si="35"/>
        <v>370.01</v>
      </c>
      <c r="K1140" s="17" t="s">
        <v>43</v>
      </c>
    </row>
    <row r="1141" spans="1:11" x14ac:dyDescent="0.25">
      <c r="A1141" s="17" t="s">
        <v>1498</v>
      </c>
      <c r="B1141" s="19">
        <v>46184</v>
      </c>
      <c r="C1141" s="20">
        <f t="shared" si="34"/>
        <v>46174</v>
      </c>
      <c r="D1141" s="17" t="s">
        <v>278</v>
      </c>
      <c r="E1141" s="17" t="s">
        <v>27</v>
      </c>
      <c r="F1141" s="17" t="s">
        <v>30</v>
      </c>
      <c r="G1141" s="21">
        <v>1</v>
      </c>
      <c r="H1141" s="12">
        <v>12.7</v>
      </c>
      <c r="I1141" s="22">
        <v>0</v>
      </c>
      <c r="J1141" s="12">
        <f t="shared" si="35"/>
        <v>12.7</v>
      </c>
      <c r="K1141" s="17" t="s">
        <v>43</v>
      </c>
    </row>
    <row r="1142" spans="1:11" x14ac:dyDescent="0.25">
      <c r="A1142" s="17" t="s">
        <v>1499</v>
      </c>
      <c r="B1142" s="19">
        <v>46184</v>
      </c>
      <c r="C1142" s="20">
        <f t="shared" si="34"/>
        <v>46174</v>
      </c>
      <c r="D1142" s="17" t="s">
        <v>78</v>
      </c>
      <c r="E1142" s="17" t="s">
        <v>25</v>
      </c>
      <c r="F1142" s="17" t="s">
        <v>30</v>
      </c>
      <c r="G1142" s="21">
        <v>5</v>
      </c>
      <c r="H1142" s="12">
        <v>29.76</v>
      </c>
      <c r="I1142" s="22">
        <v>0</v>
      </c>
      <c r="J1142" s="12">
        <f t="shared" si="35"/>
        <v>148.80000000000001</v>
      </c>
      <c r="K1142" s="17" t="s">
        <v>43</v>
      </c>
    </row>
    <row r="1143" spans="1:11" x14ac:dyDescent="0.25">
      <c r="A1143" s="17" t="s">
        <v>1500</v>
      </c>
      <c r="B1143" s="19">
        <v>46184</v>
      </c>
      <c r="C1143" s="20">
        <f t="shared" si="34"/>
        <v>46174</v>
      </c>
      <c r="D1143" s="17" t="s">
        <v>1220</v>
      </c>
      <c r="E1143" s="17" t="s">
        <v>21</v>
      </c>
      <c r="F1143" s="17" t="s">
        <v>31</v>
      </c>
      <c r="G1143" s="21">
        <v>1</v>
      </c>
      <c r="H1143" s="12">
        <v>81.180000000000007</v>
      </c>
      <c r="I1143" s="22">
        <v>0</v>
      </c>
      <c r="J1143" s="12">
        <f t="shared" si="35"/>
        <v>81.180000000000007</v>
      </c>
      <c r="K1143" s="17" t="s">
        <v>48</v>
      </c>
    </row>
    <row r="1144" spans="1:11" x14ac:dyDescent="0.25">
      <c r="A1144" s="17" t="s">
        <v>1501</v>
      </c>
      <c r="B1144" s="19">
        <v>46184</v>
      </c>
      <c r="C1144" s="20">
        <f t="shared" si="34"/>
        <v>46174</v>
      </c>
      <c r="D1144" s="17" t="s">
        <v>767</v>
      </c>
      <c r="E1144" s="17" t="s">
        <v>20</v>
      </c>
      <c r="F1144" s="17" t="s">
        <v>31</v>
      </c>
      <c r="G1144" s="21">
        <v>1</v>
      </c>
      <c r="H1144" s="12">
        <v>90.93</v>
      </c>
      <c r="I1144" s="22">
        <v>0</v>
      </c>
      <c r="J1144" s="12">
        <f t="shared" si="35"/>
        <v>90.93</v>
      </c>
      <c r="K1144" s="17" t="s">
        <v>48</v>
      </c>
    </row>
    <row r="1145" spans="1:11" x14ac:dyDescent="0.25">
      <c r="A1145" s="17" t="s">
        <v>1502</v>
      </c>
      <c r="B1145" s="19">
        <v>46184</v>
      </c>
      <c r="C1145" s="20">
        <f t="shared" si="34"/>
        <v>46174</v>
      </c>
      <c r="D1145" s="17" t="s">
        <v>204</v>
      </c>
      <c r="E1145" s="17" t="s">
        <v>22</v>
      </c>
      <c r="F1145" s="17" t="s">
        <v>31</v>
      </c>
      <c r="G1145" s="21">
        <v>5</v>
      </c>
      <c r="H1145" s="12">
        <v>100.13</v>
      </c>
      <c r="I1145" s="22">
        <v>0.05</v>
      </c>
      <c r="J1145" s="12">
        <f t="shared" si="35"/>
        <v>475.62</v>
      </c>
      <c r="K1145" s="17" t="s">
        <v>48</v>
      </c>
    </row>
    <row r="1146" spans="1:11" x14ac:dyDescent="0.25">
      <c r="A1146" s="17" t="s">
        <v>1503</v>
      </c>
      <c r="B1146" s="19">
        <v>46184</v>
      </c>
      <c r="C1146" s="20">
        <f t="shared" si="34"/>
        <v>46174</v>
      </c>
      <c r="D1146" s="17" t="s">
        <v>477</v>
      </c>
      <c r="E1146" s="17" t="s">
        <v>21</v>
      </c>
      <c r="F1146" s="17" t="s">
        <v>31</v>
      </c>
      <c r="G1146" s="21">
        <v>4</v>
      </c>
      <c r="H1146" s="12">
        <v>76.97</v>
      </c>
      <c r="I1146" s="22">
        <v>0</v>
      </c>
      <c r="J1146" s="12">
        <f t="shared" si="35"/>
        <v>307.88</v>
      </c>
      <c r="K1146" s="17" t="s">
        <v>48</v>
      </c>
    </row>
    <row r="1147" spans="1:11" x14ac:dyDescent="0.25">
      <c r="A1147" s="17" t="s">
        <v>1504</v>
      </c>
      <c r="B1147" s="19">
        <v>46185</v>
      </c>
      <c r="C1147" s="20">
        <f t="shared" si="34"/>
        <v>46174</v>
      </c>
      <c r="D1147" s="17" t="s">
        <v>1217</v>
      </c>
      <c r="E1147" s="17" t="s">
        <v>16</v>
      </c>
      <c r="F1147" s="17" t="s">
        <v>30</v>
      </c>
      <c r="G1147" s="21">
        <v>3</v>
      </c>
      <c r="H1147" s="12">
        <v>256.2</v>
      </c>
      <c r="I1147" s="22">
        <v>0</v>
      </c>
      <c r="J1147" s="12">
        <f t="shared" si="35"/>
        <v>768.6</v>
      </c>
      <c r="K1147" s="17" t="s">
        <v>59</v>
      </c>
    </row>
    <row r="1148" spans="1:11" x14ac:dyDescent="0.25">
      <c r="A1148" s="17" t="s">
        <v>1505</v>
      </c>
      <c r="B1148" s="19">
        <v>46185</v>
      </c>
      <c r="C1148" s="20">
        <f t="shared" si="34"/>
        <v>46174</v>
      </c>
      <c r="D1148" s="17" t="s">
        <v>183</v>
      </c>
      <c r="E1148" s="17" t="s">
        <v>26</v>
      </c>
      <c r="F1148" s="17" t="s">
        <v>30</v>
      </c>
      <c r="G1148" s="21">
        <v>2</v>
      </c>
      <c r="H1148" s="12">
        <v>24.96</v>
      </c>
      <c r="I1148" s="22">
        <v>0</v>
      </c>
      <c r="J1148" s="12">
        <f t="shared" si="35"/>
        <v>49.92</v>
      </c>
      <c r="K1148" s="17" t="s">
        <v>59</v>
      </c>
    </row>
    <row r="1149" spans="1:11" x14ac:dyDescent="0.25">
      <c r="A1149" s="17" t="s">
        <v>1506</v>
      </c>
      <c r="B1149" s="19">
        <v>46185</v>
      </c>
      <c r="C1149" s="20">
        <f t="shared" si="34"/>
        <v>46174</v>
      </c>
      <c r="D1149" s="17" t="s">
        <v>477</v>
      </c>
      <c r="E1149" s="17" t="s">
        <v>21</v>
      </c>
      <c r="F1149" s="17" t="s">
        <v>30</v>
      </c>
      <c r="G1149" s="21">
        <v>2</v>
      </c>
      <c r="H1149" s="12">
        <v>77.349999999999994</v>
      </c>
      <c r="I1149" s="22">
        <v>0.05</v>
      </c>
      <c r="J1149" s="12">
        <f t="shared" si="35"/>
        <v>146.97</v>
      </c>
      <c r="K1149" s="17" t="s">
        <v>43</v>
      </c>
    </row>
    <row r="1150" spans="1:11" x14ac:dyDescent="0.25">
      <c r="A1150" s="17" t="s">
        <v>1507</v>
      </c>
      <c r="B1150" s="19">
        <v>46185</v>
      </c>
      <c r="C1150" s="20">
        <f t="shared" si="34"/>
        <v>46174</v>
      </c>
      <c r="D1150" s="17" t="s">
        <v>185</v>
      </c>
      <c r="E1150" s="17" t="s">
        <v>27</v>
      </c>
      <c r="F1150" s="17" t="s">
        <v>30</v>
      </c>
      <c r="G1150" s="21">
        <v>2</v>
      </c>
      <c r="H1150" s="12">
        <v>12.95</v>
      </c>
      <c r="I1150" s="22">
        <v>0.1</v>
      </c>
      <c r="J1150" s="12">
        <f t="shared" si="35"/>
        <v>23.31</v>
      </c>
      <c r="K1150" s="17" t="s">
        <v>43</v>
      </c>
    </row>
    <row r="1151" spans="1:11" x14ac:dyDescent="0.25">
      <c r="A1151" s="17" t="s">
        <v>1508</v>
      </c>
      <c r="B1151" s="19">
        <v>46185</v>
      </c>
      <c r="C1151" s="20">
        <f t="shared" si="34"/>
        <v>46174</v>
      </c>
      <c r="D1151" s="17" t="s">
        <v>1186</v>
      </c>
      <c r="E1151" s="17" t="s">
        <v>23</v>
      </c>
      <c r="F1151" s="17" t="s">
        <v>30</v>
      </c>
      <c r="G1151" s="21">
        <v>1</v>
      </c>
      <c r="H1151" s="12">
        <v>60.39</v>
      </c>
      <c r="I1151" s="22">
        <v>0.1</v>
      </c>
      <c r="J1151" s="12">
        <f t="shared" si="35"/>
        <v>54.35</v>
      </c>
      <c r="K1151" s="17" t="s">
        <v>43</v>
      </c>
    </row>
    <row r="1152" spans="1:11" x14ac:dyDescent="0.25">
      <c r="A1152" s="17" t="s">
        <v>1509</v>
      </c>
      <c r="B1152" s="19">
        <v>46185</v>
      </c>
      <c r="C1152" s="20">
        <f t="shared" si="34"/>
        <v>46174</v>
      </c>
      <c r="D1152" s="17" t="s">
        <v>67</v>
      </c>
      <c r="E1152" s="17" t="s">
        <v>24</v>
      </c>
      <c r="F1152" s="17" t="s">
        <v>30</v>
      </c>
      <c r="G1152" s="21">
        <v>1</v>
      </c>
      <c r="H1152" s="12">
        <v>34.840000000000003</v>
      </c>
      <c r="I1152" s="22">
        <v>0.15</v>
      </c>
      <c r="J1152" s="12">
        <f t="shared" si="35"/>
        <v>29.61</v>
      </c>
      <c r="K1152" s="17" t="s">
        <v>43</v>
      </c>
    </row>
    <row r="1153" spans="1:11" x14ac:dyDescent="0.25">
      <c r="A1153" s="17" t="s">
        <v>1510</v>
      </c>
      <c r="B1153" s="19">
        <v>46185</v>
      </c>
      <c r="C1153" s="20">
        <f t="shared" si="34"/>
        <v>46174</v>
      </c>
      <c r="D1153" s="17" t="s">
        <v>916</v>
      </c>
      <c r="E1153" s="17" t="s">
        <v>18</v>
      </c>
      <c r="F1153" s="17" t="s">
        <v>31</v>
      </c>
      <c r="G1153" s="21">
        <v>2</v>
      </c>
      <c r="H1153" s="12">
        <v>146.94</v>
      </c>
      <c r="I1153" s="22">
        <v>0.15</v>
      </c>
      <c r="J1153" s="12">
        <f t="shared" si="35"/>
        <v>249.8</v>
      </c>
      <c r="K1153" s="17" t="s">
        <v>48</v>
      </c>
    </row>
    <row r="1154" spans="1:11" x14ac:dyDescent="0.25">
      <c r="A1154" s="17" t="s">
        <v>1511</v>
      </c>
      <c r="B1154" s="19">
        <v>46185</v>
      </c>
      <c r="C1154" s="20">
        <f t="shared" ref="C1154:C1217" si="36">DATE(YEAR(B1154),MONTH(B1154),1)</f>
        <v>46174</v>
      </c>
      <c r="D1154" s="17" t="s">
        <v>494</v>
      </c>
      <c r="E1154" s="17" t="s">
        <v>21</v>
      </c>
      <c r="F1154" s="17" t="s">
        <v>31</v>
      </c>
      <c r="G1154" s="21">
        <v>1</v>
      </c>
      <c r="H1154" s="12">
        <v>81</v>
      </c>
      <c r="I1154" s="22">
        <v>0</v>
      </c>
      <c r="J1154" s="12">
        <f t="shared" ref="J1154:J1217" si="37">ROUND(G1154*H1154*(1-I1154),2)</f>
        <v>81</v>
      </c>
      <c r="K1154" s="17" t="s">
        <v>48</v>
      </c>
    </row>
    <row r="1155" spans="1:11" x14ac:dyDescent="0.25">
      <c r="A1155" s="17" t="s">
        <v>1512</v>
      </c>
      <c r="B1155" s="19">
        <v>46185</v>
      </c>
      <c r="C1155" s="20">
        <f t="shared" si="36"/>
        <v>46174</v>
      </c>
      <c r="D1155" s="17" t="s">
        <v>788</v>
      </c>
      <c r="E1155" s="17" t="s">
        <v>22</v>
      </c>
      <c r="F1155" s="17" t="s">
        <v>31</v>
      </c>
      <c r="G1155" s="21">
        <v>3</v>
      </c>
      <c r="H1155" s="12">
        <v>101.16</v>
      </c>
      <c r="I1155" s="22">
        <v>0</v>
      </c>
      <c r="J1155" s="12">
        <f t="shared" si="37"/>
        <v>303.48</v>
      </c>
      <c r="K1155" s="17" t="s">
        <v>48</v>
      </c>
    </row>
    <row r="1156" spans="1:11" x14ac:dyDescent="0.25">
      <c r="A1156" s="17" t="s">
        <v>1513</v>
      </c>
      <c r="B1156" s="19">
        <v>46185</v>
      </c>
      <c r="C1156" s="20">
        <f t="shared" si="36"/>
        <v>46174</v>
      </c>
      <c r="D1156" s="17" t="s">
        <v>206</v>
      </c>
      <c r="E1156" s="17" t="s">
        <v>18</v>
      </c>
      <c r="F1156" s="17" t="s">
        <v>31</v>
      </c>
      <c r="G1156" s="21">
        <v>2</v>
      </c>
      <c r="H1156" s="12">
        <v>148.61000000000001</v>
      </c>
      <c r="I1156" s="22">
        <v>0.1</v>
      </c>
      <c r="J1156" s="12">
        <f t="shared" si="37"/>
        <v>267.5</v>
      </c>
      <c r="K1156" s="17" t="s">
        <v>48</v>
      </c>
    </row>
    <row r="1157" spans="1:11" x14ac:dyDescent="0.25">
      <c r="A1157" s="17" t="s">
        <v>1514</v>
      </c>
      <c r="B1157" s="19">
        <v>46186</v>
      </c>
      <c r="C1157" s="20">
        <f t="shared" si="36"/>
        <v>46174</v>
      </c>
      <c r="D1157" s="17" t="s">
        <v>1213</v>
      </c>
      <c r="E1157" s="17" t="s">
        <v>25</v>
      </c>
      <c r="F1157" s="17" t="s">
        <v>30</v>
      </c>
      <c r="G1157" s="21">
        <v>2</v>
      </c>
      <c r="H1157" s="12">
        <v>29.95</v>
      </c>
      <c r="I1157" s="22">
        <v>0</v>
      </c>
      <c r="J1157" s="12">
        <f t="shared" si="37"/>
        <v>59.9</v>
      </c>
      <c r="K1157" s="17" t="s">
        <v>43</v>
      </c>
    </row>
    <row r="1158" spans="1:11" x14ac:dyDescent="0.25">
      <c r="A1158" s="17" t="s">
        <v>1515</v>
      </c>
      <c r="B1158" s="19">
        <v>46186</v>
      </c>
      <c r="C1158" s="20">
        <f t="shared" si="36"/>
        <v>46174</v>
      </c>
      <c r="D1158" s="17" t="s">
        <v>818</v>
      </c>
      <c r="E1158" s="17" t="s">
        <v>19</v>
      </c>
      <c r="F1158" s="17" t="s">
        <v>30</v>
      </c>
      <c r="G1158" s="21">
        <v>1</v>
      </c>
      <c r="H1158" s="12">
        <v>130.55000000000001</v>
      </c>
      <c r="I1158" s="22">
        <v>0</v>
      </c>
      <c r="J1158" s="12">
        <f t="shared" si="37"/>
        <v>130.55000000000001</v>
      </c>
      <c r="K1158" s="17" t="s">
        <v>43</v>
      </c>
    </row>
    <row r="1159" spans="1:11" x14ac:dyDescent="0.25">
      <c r="A1159" s="17" t="s">
        <v>1516</v>
      </c>
      <c r="B1159" s="19">
        <v>46186</v>
      </c>
      <c r="C1159" s="20">
        <f t="shared" si="36"/>
        <v>46174</v>
      </c>
      <c r="D1159" s="17" t="s">
        <v>494</v>
      </c>
      <c r="E1159" s="17" t="s">
        <v>20</v>
      </c>
      <c r="F1159" s="17" t="s">
        <v>31</v>
      </c>
      <c r="G1159" s="21">
        <v>1</v>
      </c>
      <c r="H1159" s="12">
        <v>88.72</v>
      </c>
      <c r="I1159" s="22">
        <v>0</v>
      </c>
      <c r="J1159" s="12">
        <f t="shared" si="37"/>
        <v>88.72</v>
      </c>
      <c r="K1159" s="17" t="s">
        <v>48</v>
      </c>
    </row>
    <row r="1160" spans="1:11" x14ac:dyDescent="0.25">
      <c r="A1160" s="17" t="s">
        <v>1517</v>
      </c>
      <c r="B1160" s="19">
        <v>46186</v>
      </c>
      <c r="C1160" s="20">
        <f t="shared" si="36"/>
        <v>46174</v>
      </c>
      <c r="D1160" s="17" t="s">
        <v>187</v>
      </c>
      <c r="E1160" s="17" t="s">
        <v>26</v>
      </c>
      <c r="F1160" s="17" t="s">
        <v>31</v>
      </c>
      <c r="G1160" s="21">
        <v>2</v>
      </c>
      <c r="H1160" s="12">
        <v>24.09</v>
      </c>
      <c r="I1160" s="22">
        <v>0.05</v>
      </c>
      <c r="J1160" s="12">
        <f t="shared" si="37"/>
        <v>45.77</v>
      </c>
      <c r="K1160" s="17" t="s">
        <v>48</v>
      </c>
    </row>
    <row r="1161" spans="1:11" x14ac:dyDescent="0.25">
      <c r="A1161" s="17" t="s">
        <v>1518</v>
      </c>
      <c r="B1161" s="19">
        <v>46186</v>
      </c>
      <c r="C1161" s="20">
        <f t="shared" si="36"/>
        <v>46174</v>
      </c>
      <c r="D1161" s="17" t="s">
        <v>1519</v>
      </c>
      <c r="E1161" s="17" t="s">
        <v>25</v>
      </c>
      <c r="F1161" s="17" t="s">
        <v>31</v>
      </c>
      <c r="G1161" s="21">
        <v>1</v>
      </c>
      <c r="H1161" s="12">
        <v>30.41</v>
      </c>
      <c r="I1161" s="22">
        <v>0.1</v>
      </c>
      <c r="J1161" s="12">
        <f t="shared" si="37"/>
        <v>27.37</v>
      </c>
      <c r="K1161" s="17" t="s">
        <v>48</v>
      </c>
    </row>
    <row r="1162" spans="1:11" x14ac:dyDescent="0.25">
      <c r="A1162" s="17" t="s">
        <v>1520</v>
      </c>
      <c r="B1162" s="19">
        <v>46186</v>
      </c>
      <c r="C1162" s="20">
        <f t="shared" si="36"/>
        <v>46174</v>
      </c>
      <c r="D1162" s="17" t="s">
        <v>71</v>
      </c>
      <c r="E1162" s="17" t="s">
        <v>16</v>
      </c>
      <c r="F1162" s="17" t="s">
        <v>31</v>
      </c>
      <c r="G1162" s="21">
        <v>2</v>
      </c>
      <c r="H1162" s="12">
        <v>244.76</v>
      </c>
      <c r="I1162" s="22">
        <v>0.1</v>
      </c>
      <c r="J1162" s="12">
        <f t="shared" si="37"/>
        <v>440.57</v>
      </c>
      <c r="K1162" s="17" t="s">
        <v>48</v>
      </c>
    </row>
    <row r="1163" spans="1:11" x14ac:dyDescent="0.25">
      <c r="A1163" s="17" t="s">
        <v>1521</v>
      </c>
      <c r="B1163" s="19">
        <v>46187</v>
      </c>
      <c r="C1163" s="20">
        <f t="shared" si="36"/>
        <v>46174</v>
      </c>
      <c r="D1163" s="17" t="s">
        <v>261</v>
      </c>
      <c r="E1163" s="17" t="s">
        <v>23</v>
      </c>
      <c r="F1163" s="17" t="s">
        <v>30</v>
      </c>
      <c r="G1163" s="21">
        <v>4</v>
      </c>
      <c r="H1163" s="12">
        <v>60</v>
      </c>
      <c r="I1163" s="22">
        <v>0</v>
      </c>
      <c r="J1163" s="12">
        <f t="shared" si="37"/>
        <v>240</v>
      </c>
      <c r="K1163" s="17" t="s">
        <v>59</v>
      </c>
    </row>
    <row r="1164" spans="1:11" x14ac:dyDescent="0.25">
      <c r="A1164" s="17" t="s">
        <v>1522</v>
      </c>
      <c r="B1164" s="19">
        <v>46187</v>
      </c>
      <c r="C1164" s="20">
        <f t="shared" si="36"/>
        <v>46174</v>
      </c>
      <c r="D1164" s="17" t="s">
        <v>380</v>
      </c>
      <c r="E1164" s="17" t="s">
        <v>17</v>
      </c>
      <c r="F1164" s="17" t="s">
        <v>30</v>
      </c>
      <c r="G1164" s="21">
        <v>5</v>
      </c>
      <c r="H1164" s="12">
        <v>221.15</v>
      </c>
      <c r="I1164" s="22">
        <v>0.1</v>
      </c>
      <c r="J1164" s="12">
        <f t="shared" si="37"/>
        <v>995.18</v>
      </c>
      <c r="K1164" s="17" t="s">
        <v>43</v>
      </c>
    </row>
    <row r="1165" spans="1:11" x14ac:dyDescent="0.25">
      <c r="A1165" s="17" t="s">
        <v>1523</v>
      </c>
      <c r="B1165" s="19">
        <v>46187</v>
      </c>
      <c r="C1165" s="20">
        <f t="shared" si="36"/>
        <v>46174</v>
      </c>
      <c r="D1165" s="17" t="s">
        <v>78</v>
      </c>
      <c r="E1165" s="17" t="s">
        <v>16</v>
      </c>
      <c r="F1165" s="17" t="s">
        <v>30</v>
      </c>
      <c r="G1165" s="21">
        <v>5</v>
      </c>
      <c r="H1165" s="12">
        <v>250.11</v>
      </c>
      <c r="I1165" s="22">
        <v>0</v>
      </c>
      <c r="J1165" s="12">
        <f t="shared" si="37"/>
        <v>1250.55</v>
      </c>
      <c r="K1165" s="17" t="s">
        <v>43</v>
      </c>
    </row>
    <row r="1166" spans="1:11" x14ac:dyDescent="0.25">
      <c r="A1166" s="17" t="s">
        <v>1524</v>
      </c>
      <c r="B1166" s="19">
        <v>46187</v>
      </c>
      <c r="C1166" s="20">
        <f t="shared" si="36"/>
        <v>46174</v>
      </c>
      <c r="D1166" s="17" t="s">
        <v>431</v>
      </c>
      <c r="E1166" s="17" t="s">
        <v>25</v>
      </c>
      <c r="F1166" s="17" t="s">
        <v>31</v>
      </c>
      <c r="G1166" s="21">
        <v>1</v>
      </c>
      <c r="H1166" s="12">
        <v>30.53</v>
      </c>
      <c r="I1166" s="22">
        <v>0.05</v>
      </c>
      <c r="J1166" s="12">
        <f t="shared" si="37"/>
        <v>29</v>
      </c>
      <c r="K1166" s="17" t="s">
        <v>48</v>
      </c>
    </row>
    <row r="1167" spans="1:11" x14ac:dyDescent="0.25">
      <c r="A1167" s="17" t="s">
        <v>1525</v>
      </c>
      <c r="B1167" s="19">
        <v>46187</v>
      </c>
      <c r="C1167" s="20">
        <f t="shared" si="36"/>
        <v>46174</v>
      </c>
      <c r="D1167" s="17" t="s">
        <v>56</v>
      </c>
      <c r="E1167" s="17" t="s">
        <v>16</v>
      </c>
      <c r="F1167" s="17" t="s">
        <v>31</v>
      </c>
      <c r="G1167" s="21">
        <v>1</v>
      </c>
      <c r="H1167" s="12">
        <v>247.66</v>
      </c>
      <c r="I1167" s="22">
        <v>0.1</v>
      </c>
      <c r="J1167" s="12">
        <f t="shared" si="37"/>
        <v>222.89</v>
      </c>
      <c r="K1167" s="17" t="s">
        <v>48</v>
      </c>
    </row>
    <row r="1168" spans="1:11" x14ac:dyDescent="0.25">
      <c r="A1168" s="17" t="s">
        <v>1526</v>
      </c>
      <c r="B1168" s="19">
        <v>46188</v>
      </c>
      <c r="C1168" s="20">
        <f t="shared" si="36"/>
        <v>46174</v>
      </c>
      <c r="D1168" s="17" t="s">
        <v>773</v>
      </c>
      <c r="E1168" s="17" t="s">
        <v>16</v>
      </c>
      <c r="F1168" s="17" t="s">
        <v>30</v>
      </c>
      <c r="G1168" s="21">
        <v>1</v>
      </c>
      <c r="H1168" s="12">
        <v>243.69</v>
      </c>
      <c r="I1168" s="22">
        <v>0</v>
      </c>
      <c r="J1168" s="12">
        <f t="shared" si="37"/>
        <v>243.69</v>
      </c>
      <c r="K1168" s="17" t="s">
        <v>59</v>
      </c>
    </row>
    <row r="1169" spans="1:11" x14ac:dyDescent="0.25">
      <c r="A1169" s="17" t="s">
        <v>1527</v>
      </c>
      <c r="B1169" s="19">
        <v>46188</v>
      </c>
      <c r="C1169" s="20">
        <f t="shared" si="36"/>
        <v>46174</v>
      </c>
      <c r="D1169" s="17" t="s">
        <v>392</v>
      </c>
      <c r="E1169" s="17" t="s">
        <v>18</v>
      </c>
      <c r="F1169" s="17" t="s">
        <v>30</v>
      </c>
      <c r="G1169" s="21">
        <v>5</v>
      </c>
      <c r="H1169" s="12">
        <v>147.93</v>
      </c>
      <c r="I1169" s="22">
        <v>0</v>
      </c>
      <c r="J1169" s="12">
        <f t="shared" si="37"/>
        <v>739.65</v>
      </c>
      <c r="K1169" s="17" t="s">
        <v>59</v>
      </c>
    </row>
    <row r="1170" spans="1:11" x14ac:dyDescent="0.25">
      <c r="A1170" s="17" t="s">
        <v>1528</v>
      </c>
      <c r="B1170" s="19">
        <v>46188</v>
      </c>
      <c r="C1170" s="20">
        <f t="shared" si="36"/>
        <v>46174</v>
      </c>
      <c r="D1170" s="17" t="s">
        <v>1046</v>
      </c>
      <c r="E1170" s="17" t="s">
        <v>20</v>
      </c>
      <c r="F1170" s="17" t="s">
        <v>30</v>
      </c>
      <c r="G1170" s="21">
        <v>2</v>
      </c>
      <c r="H1170" s="12">
        <v>86.49</v>
      </c>
      <c r="I1170" s="22">
        <v>0.15</v>
      </c>
      <c r="J1170" s="12">
        <f t="shared" si="37"/>
        <v>147.03</v>
      </c>
      <c r="K1170" s="17" t="s">
        <v>43</v>
      </c>
    </row>
    <row r="1171" spans="1:11" x14ac:dyDescent="0.25">
      <c r="A1171" s="17" t="s">
        <v>1529</v>
      </c>
      <c r="B1171" s="19">
        <v>46188</v>
      </c>
      <c r="C1171" s="20">
        <f t="shared" si="36"/>
        <v>46174</v>
      </c>
      <c r="D1171" s="17" t="s">
        <v>616</v>
      </c>
      <c r="E1171" s="17" t="s">
        <v>21</v>
      </c>
      <c r="F1171" s="17" t="s">
        <v>31</v>
      </c>
      <c r="G1171" s="21">
        <v>1</v>
      </c>
      <c r="H1171" s="12">
        <v>76.709999999999994</v>
      </c>
      <c r="I1171" s="22">
        <v>0</v>
      </c>
      <c r="J1171" s="12">
        <f t="shared" si="37"/>
        <v>76.709999999999994</v>
      </c>
      <c r="K1171" s="17" t="s">
        <v>48</v>
      </c>
    </row>
    <row r="1172" spans="1:11" x14ac:dyDescent="0.25">
      <c r="A1172" s="17" t="s">
        <v>1530</v>
      </c>
      <c r="B1172" s="19">
        <v>46188</v>
      </c>
      <c r="C1172" s="20">
        <f t="shared" si="36"/>
        <v>46174</v>
      </c>
      <c r="D1172" s="17" t="s">
        <v>137</v>
      </c>
      <c r="E1172" s="17" t="s">
        <v>21</v>
      </c>
      <c r="F1172" s="17" t="s">
        <v>31</v>
      </c>
      <c r="G1172" s="21">
        <v>5</v>
      </c>
      <c r="H1172" s="12">
        <v>79.38</v>
      </c>
      <c r="I1172" s="22">
        <v>0.1</v>
      </c>
      <c r="J1172" s="12">
        <f t="shared" si="37"/>
        <v>357.21</v>
      </c>
      <c r="K1172" s="17" t="s">
        <v>48</v>
      </c>
    </row>
    <row r="1173" spans="1:11" x14ac:dyDescent="0.25">
      <c r="A1173" s="17" t="s">
        <v>1531</v>
      </c>
      <c r="B1173" s="19">
        <v>46188</v>
      </c>
      <c r="C1173" s="20">
        <f t="shared" si="36"/>
        <v>46174</v>
      </c>
      <c r="D1173" s="17" t="s">
        <v>570</v>
      </c>
      <c r="E1173" s="17" t="s">
        <v>25</v>
      </c>
      <c r="F1173" s="17" t="s">
        <v>31</v>
      </c>
      <c r="G1173" s="21">
        <v>4</v>
      </c>
      <c r="H1173" s="12">
        <v>29.93</v>
      </c>
      <c r="I1173" s="22">
        <v>0.1</v>
      </c>
      <c r="J1173" s="12">
        <f t="shared" si="37"/>
        <v>107.75</v>
      </c>
      <c r="K1173" s="17" t="s">
        <v>48</v>
      </c>
    </row>
    <row r="1174" spans="1:11" x14ac:dyDescent="0.25">
      <c r="A1174" s="17" t="s">
        <v>1532</v>
      </c>
      <c r="B1174" s="19">
        <v>46189</v>
      </c>
      <c r="C1174" s="20">
        <f t="shared" si="36"/>
        <v>46174</v>
      </c>
      <c r="D1174" s="17" t="s">
        <v>882</v>
      </c>
      <c r="E1174" s="17" t="s">
        <v>16</v>
      </c>
      <c r="F1174" s="17" t="s">
        <v>30</v>
      </c>
      <c r="G1174" s="21">
        <v>1</v>
      </c>
      <c r="H1174" s="12">
        <v>244.43</v>
      </c>
      <c r="I1174" s="22">
        <v>0.15</v>
      </c>
      <c r="J1174" s="12">
        <f t="shared" si="37"/>
        <v>207.77</v>
      </c>
      <c r="K1174" s="17" t="s">
        <v>59</v>
      </c>
    </row>
    <row r="1175" spans="1:11" x14ac:dyDescent="0.25">
      <c r="A1175" s="17" t="s">
        <v>1533</v>
      </c>
      <c r="B1175" s="19">
        <v>46189</v>
      </c>
      <c r="C1175" s="20">
        <f t="shared" si="36"/>
        <v>46174</v>
      </c>
      <c r="D1175" s="17" t="s">
        <v>78</v>
      </c>
      <c r="E1175" s="17" t="s">
        <v>21</v>
      </c>
      <c r="F1175" s="17" t="s">
        <v>30</v>
      </c>
      <c r="G1175" s="21">
        <v>3</v>
      </c>
      <c r="H1175" s="12">
        <v>81.23</v>
      </c>
      <c r="I1175" s="22">
        <v>0</v>
      </c>
      <c r="J1175" s="12">
        <f t="shared" si="37"/>
        <v>243.69</v>
      </c>
      <c r="K1175" s="17" t="s">
        <v>43</v>
      </c>
    </row>
    <row r="1176" spans="1:11" x14ac:dyDescent="0.25">
      <c r="A1176" s="17" t="s">
        <v>1534</v>
      </c>
      <c r="B1176" s="19">
        <v>46189</v>
      </c>
      <c r="C1176" s="20">
        <f t="shared" si="36"/>
        <v>46174</v>
      </c>
      <c r="D1176" s="17" t="s">
        <v>460</v>
      </c>
      <c r="E1176" s="17" t="s">
        <v>20</v>
      </c>
      <c r="F1176" s="17" t="s">
        <v>30</v>
      </c>
      <c r="G1176" s="21">
        <v>5</v>
      </c>
      <c r="H1176" s="12">
        <v>87.85</v>
      </c>
      <c r="I1176" s="22">
        <v>0</v>
      </c>
      <c r="J1176" s="12">
        <f t="shared" si="37"/>
        <v>439.25</v>
      </c>
      <c r="K1176" s="17" t="s">
        <v>43</v>
      </c>
    </row>
    <row r="1177" spans="1:11" x14ac:dyDescent="0.25">
      <c r="A1177" s="17" t="s">
        <v>1535</v>
      </c>
      <c r="B1177" s="19">
        <v>46189</v>
      </c>
      <c r="C1177" s="20">
        <f t="shared" si="36"/>
        <v>46174</v>
      </c>
      <c r="D1177" s="17" t="s">
        <v>494</v>
      </c>
      <c r="E1177" s="17" t="s">
        <v>21</v>
      </c>
      <c r="F1177" s="17" t="s">
        <v>30</v>
      </c>
      <c r="G1177" s="21">
        <v>2</v>
      </c>
      <c r="H1177" s="12">
        <v>78.45</v>
      </c>
      <c r="I1177" s="22">
        <v>0.1</v>
      </c>
      <c r="J1177" s="12">
        <f t="shared" si="37"/>
        <v>141.21</v>
      </c>
      <c r="K1177" s="17" t="s">
        <v>43</v>
      </c>
    </row>
    <row r="1178" spans="1:11" x14ac:dyDescent="0.25">
      <c r="A1178" s="17" t="s">
        <v>1536</v>
      </c>
      <c r="B1178" s="19">
        <v>46189</v>
      </c>
      <c r="C1178" s="20">
        <f t="shared" si="36"/>
        <v>46174</v>
      </c>
      <c r="D1178" s="17" t="s">
        <v>786</v>
      </c>
      <c r="E1178" s="17" t="s">
        <v>16</v>
      </c>
      <c r="F1178" s="17" t="s">
        <v>31</v>
      </c>
      <c r="G1178" s="21">
        <v>4</v>
      </c>
      <c r="H1178" s="12">
        <v>249.23</v>
      </c>
      <c r="I1178" s="22">
        <v>0</v>
      </c>
      <c r="J1178" s="12">
        <f t="shared" si="37"/>
        <v>996.92</v>
      </c>
      <c r="K1178" s="17" t="s">
        <v>48</v>
      </c>
    </row>
    <row r="1179" spans="1:11" x14ac:dyDescent="0.25">
      <c r="A1179" s="17" t="s">
        <v>1537</v>
      </c>
      <c r="B1179" s="19">
        <v>46189</v>
      </c>
      <c r="C1179" s="20">
        <f t="shared" si="36"/>
        <v>46174</v>
      </c>
      <c r="D1179" s="17" t="s">
        <v>90</v>
      </c>
      <c r="E1179" s="17" t="s">
        <v>27</v>
      </c>
      <c r="F1179" s="17" t="s">
        <v>31</v>
      </c>
      <c r="G1179" s="21">
        <v>1</v>
      </c>
      <c r="H1179" s="12">
        <v>13.07</v>
      </c>
      <c r="I1179" s="22">
        <v>0</v>
      </c>
      <c r="J1179" s="12">
        <f t="shared" si="37"/>
        <v>13.07</v>
      </c>
      <c r="K1179" s="17" t="s">
        <v>48</v>
      </c>
    </row>
    <row r="1180" spans="1:11" x14ac:dyDescent="0.25">
      <c r="A1180" s="17" t="s">
        <v>1538</v>
      </c>
      <c r="B1180" s="19">
        <v>46190</v>
      </c>
      <c r="C1180" s="20">
        <f t="shared" si="36"/>
        <v>46174</v>
      </c>
      <c r="D1180" s="17" t="s">
        <v>502</v>
      </c>
      <c r="E1180" s="17" t="s">
        <v>16</v>
      </c>
      <c r="F1180" s="17" t="s">
        <v>30</v>
      </c>
      <c r="G1180" s="21">
        <v>2</v>
      </c>
      <c r="H1180" s="12">
        <v>246.02</v>
      </c>
      <c r="I1180" s="22">
        <v>0.1</v>
      </c>
      <c r="J1180" s="12">
        <f t="shared" si="37"/>
        <v>442.84</v>
      </c>
      <c r="K1180" s="17" t="s">
        <v>59</v>
      </c>
    </row>
    <row r="1181" spans="1:11" x14ac:dyDescent="0.25">
      <c r="A1181" s="17" t="s">
        <v>1539</v>
      </c>
      <c r="B1181" s="19">
        <v>46190</v>
      </c>
      <c r="C1181" s="20">
        <f t="shared" si="36"/>
        <v>46174</v>
      </c>
      <c r="D1181" s="17" t="s">
        <v>832</v>
      </c>
      <c r="E1181" s="17" t="s">
        <v>26</v>
      </c>
      <c r="F1181" s="17" t="s">
        <v>30</v>
      </c>
      <c r="G1181" s="21">
        <v>1</v>
      </c>
      <c r="H1181" s="12">
        <v>24.92</v>
      </c>
      <c r="I1181" s="22">
        <v>0.1</v>
      </c>
      <c r="J1181" s="12">
        <f t="shared" si="37"/>
        <v>22.43</v>
      </c>
      <c r="K1181" s="17" t="s">
        <v>59</v>
      </c>
    </row>
    <row r="1182" spans="1:11" x14ac:dyDescent="0.25">
      <c r="A1182" s="17" t="s">
        <v>1540</v>
      </c>
      <c r="B1182" s="19">
        <v>46190</v>
      </c>
      <c r="C1182" s="20">
        <f t="shared" si="36"/>
        <v>46174</v>
      </c>
      <c r="D1182" s="17" t="s">
        <v>882</v>
      </c>
      <c r="E1182" s="17" t="s">
        <v>21</v>
      </c>
      <c r="F1182" s="17" t="s">
        <v>30</v>
      </c>
      <c r="G1182" s="21">
        <v>1</v>
      </c>
      <c r="H1182" s="12">
        <v>80.540000000000006</v>
      </c>
      <c r="I1182" s="22">
        <v>0</v>
      </c>
      <c r="J1182" s="12">
        <f t="shared" si="37"/>
        <v>80.540000000000006</v>
      </c>
      <c r="K1182" s="17" t="s">
        <v>43</v>
      </c>
    </row>
    <row r="1183" spans="1:11" x14ac:dyDescent="0.25">
      <c r="A1183" s="17" t="s">
        <v>1541</v>
      </c>
      <c r="B1183" s="19">
        <v>46190</v>
      </c>
      <c r="C1183" s="20">
        <f t="shared" si="36"/>
        <v>46174</v>
      </c>
      <c r="D1183" s="17" t="s">
        <v>374</v>
      </c>
      <c r="E1183" s="17" t="s">
        <v>17</v>
      </c>
      <c r="F1183" s="17" t="s">
        <v>30</v>
      </c>
      <c r="G1183" s="21">
        <v>1</v>
      </c>
      <c r="H1183" s="12">
        <v>219.03</v>
      </c>
      <c r="I1183" s="22">
        <v>0</v>
      </c>
      <c r="J1183" s="12">
        <f t="shared" si="37"/>
        <v>219.03</v>
      </c>
      <c r="K1183" s="17" t="s">
        <v>43</v>
      </c>
    </row>
    <row r="1184" spans="1:11" x14ac:dyDescent="0.25">
      <c r="A1184" s="17" t="s">
        <v>1542</v>
      </c>
      <c r="B1184" s="19">
        <v>46190</v>
      </c>
      <c r="C1184" s="20">
        <f t="shared" si="36"/>
        <v>46174</v>
      </c>
      <c r="D1184" s="17" t="s">
        <v>977</v>
      </c>
      <c r="E1184" s="17" t="s">
        <v>21</v>
      </c>
      <c r="F1184" s="17" t="s">
        <v>30</v>
      </c>
      <c r="G1184" s="21">
        <v>2</v>
      </c>
      <c r="H1184" s="12">
        <v>77.05</v>
      </c>
      <c r="I1184" s="22">
        <v>0.05</v>
      </c>
      <c r="J1184" s="12">
        <f t="shared" si="37"/>
        <v>146.4</v>
      </c>
      <c r="K1184" s="17" t="s">
        <v>43</v>
      </c>
    </row>
    <row r="1185" spans="1:11" x14ac:dyDescent="0.25">
      <c r="A1185" s="17" t="s">
        <v>1543</v>
      </c>
      <c r="B1185" s="19">
        <v>46190</v>
      </c>
      <c r="C1185" s="20">
        <f t="shared" si="36"/>
        <v>46174</v>
      </c>
      <c r="D1185" s="17" t="s">
        <v>69</v>
      </c>
      <c r="E1185" s="17" t="s">
        <v>26</v>
      </c>
      <c r="F1185" s="17" t="s">
        <v>30</v>
      </c>
      <c r="G1185" s="21">
        <v>1</v>
      </c>
      <c r="H1185" s="12">
        <v>24.29</v>
      </c>
      <c r="I1185" s="22">
        <v>0.05</v>
      </c>
      <c r="J1185" s="12">
        <f t="shared" si="37"/>
        <v>23.08</v>
      </c>
      <c r="K1185" s="17" t="s">
        <v>43</v>
      </c>
    </row>
    <row r="1186" spans="1:11" x14ac:dyDescent="0.25">
      <c r="A1186" s="17" t="s">
        <v>1544</v>
      </c>
      <c r="B1186" s="19">
        <v>46190</v>
      </c>
      <c r="C1186" s="20">
        <f t="shared" si="36"/>
        <v>46174</v>
      </c>
      <c r="D1186" s="17" t="s">
        <v>424</v>
      </c>
      <c r="E1186" s="17" t="s">
        <v>27</v>
      </c>
      <c r="F1186" s="17" t="s">
        <v>31</v>
      </c>
      <c r="G1186" s="21">
        <v>5</v>
      </c>
      <c r="H1186" s="12">
        <v>13.05</v>
      </c>
      <c r="I1186" s="22">
        <v>0.05</v>
      </c>
      <c r="J1186" s="12">
        <f t="shared" si="37"/>
        <v>61.99</v>
      </c>
      <c r="K1186" s="17" t="s">
        <v>48</v>
      </c>
    </row>
    <row r="1187" spans="1:11" x14ac:dyDescent="0.25">
      <c r="A1187" s="17" t="s">
        <v>1545</v>
      </c>
      <c r="B1187" s="19">
        <v>46190</v>
      </c>
      <c r="C1187" s="20">
        <f t="shared" si="36"/>
        <v>46174</v>
      </c>
      <c r="D1187" s="17" t="s">
        <v>402</v>
      </c>
      <c r="E1187" s="17" t="s">
        <v>18</v>
      </c>
      <c r="F1187" s="17" t="s">
        <v>31</v>
      </c>
      <c r="G1187" s="21">
        <v>2</v>
      </c>
      <c r="H1187" s="12">
        <v>150.87</v>
      </c>
      <c r="I1187" s="22">
        <v>0.15</v>
      </c>
      <c r="J1187" s="12">
        <f t="shared" si="37"/>
        <v>256.48</v>
      </c>
      <c r="K1187" s="17" t="s">
        <v>48</v>
      </c>
    </row>
    <row r="1188" spans="1:11" x14ac:dyDescent="0.25">
      <c r="A1188" s="17" t="s">
        <v>1546</v>
      </c>
      <c r="B1188" s="19">
        <v>46190</v>
      </c>
      <c r="C1188" s="20">
        <f t="shared" si="36"/>
        <v>46174</v>
      </c>
      <c r="D1188" s="17" t="s">
        <v>763</v>
      </c>
      <c r="E1188" s="17" t="s">
        <v>27</v>
      </c>
      <c r="F1188" s="17" t="s">
        <v>31</v>
      </c>
      <c r="G1188" s="21">
        <v>2</v>
      </c>
      <c r="H1188" s="12">
        <v>12.83</v>
      </c>
      <c r="I1188" s="22">
        <v>0.05</v>
      </c>
      <c r="J1188" s="12">
        <f t="shared" si="37"/>
        <v>24.38</v>
      </c>
      <c r="K1188" s="17" t="s">
        <v>48</v>
      </c>
    </row>
    <row r="1189" spans="1:11" x14ac:dyDescent="0.25">
      <c r="A1189" s="17" t="s">
        <v>1547</v>
      </c>
      <c r="B1189" s="19">
        <v>46190</v>
      </c>
      <c r="C1189" s="20">
        <f t="shared" si="36"/>
        <v>46174</v>
      </c>
      <c r="D1189" s="17" t="s">
        <v>233</v>
      </c>
      <c r="E1189" s="17" t="s">
        <v>26</v>
      </c>
      <c r="F1189" s="17" t="s">
        <v>31</v>
      </c>
      <c r="G1189" s="21">
        <v>5</v>
      </c>
      <c r="H1189" s="12">
        <v>25.02</v>
      </c>
      <c r="I1189" s="22">
        <v>0</v>
      </c>
      <c r="J1189" s="12">
        <f t="shared" si="37"/>
        <v>125.1</v>
      </c>
      <c r="K1189" s="17" t="s">
        <v>48</v>
      </c>
    </row>
    <row r="1190" spans="1:11" x14ac:dyDescent="0.25">
      <c r="A1190" s="17" t="s">
        <v>1548</v>
      </c>
      <c r="B1190" s="19">
        <v>46190</v>
      </c>
      <c r="C1190" s="20">
        <f t="shared" si="36"/>
        <v>46174</v>
      </c>
      <c r="D1190" s="17" t="s">
        <v>492</v>
      </c>
      <c r="E1190" s="17" t="s">
        <v>25</v>
      </c>
      <c r="F1190" s="17" t="s">
        <v>31</v>
      </c>
      <c r="G1190" s="21">
        <v>1</v>
      </c>
      <c r="H1190" s="12">
        <v>29.43</v>
      </c>
      <c r="I1190" s="22">
        <v>0.15</v>
      </c>
      <c r="J1190" s="12">
        <f t="shared" si="37"/>
        <v>25.02</v>
      </c>
      <c r="K1190" s="17" t="s">
        <v>48</v>
      </c>
    </row>
    <row r="1191" spans="1:11" x14ac:dyDescent="0.25">
      <c r="A1191" s="17" t="s">
        <v>1549</v>
      </c>
      <c r="B1191" s="19">
        <v>46190</v>
      </c>
      <c r="C1191" s="20">
        <f t="shared" si="36"/>
        <v>46174</v>
      </c>
      <c r="D1191" s="17" t="s">
        <v>616</v>
      </c>
      <c r="E1191" s="17" t="s">
        <v>24</v>
      </c>
      <c r="F1191" s="17" t="s">
        <v>31</v>
      </c>
      <c r="G1191" s="21">
        <v>1</v>
      </c>
      <c r="H1191" s="12">
        <v>34.369999999999997</v>
      </c>
      <c r="I1191" s="22">
        <v>0.1</v>
      </c>
      <c r="J1191" s="12">
        <f t="shared" si="37"/>
        <v>30.93</v>
      </c>
      <c r="K1191" s="17" t="s">
        <v>48</v>
      </c>
    </row>
    <row r="1192" spans="1:11" x14ac:dyDescent="0.25">
      <c r="A1192" s="17" t="s">
        <v>1550</v>
      </c>
      <c r="B1192" s="19">
        <v>46191</v>
      </c>
      <c r="C1192" s="20">
        <f t="shared" si="36"/>
        <v>46174</v>
      </c>
      <c r="D1192" s="17" t="s">
        <v>369</v>
      </c>
      <c r="E1192" s="17" t="s">
        <v>18</v>
      </c>
      <c r="F1192" s="17" t="s">
        <v>30</v>
      </c>
      <c r="G1192" s="21">
        <v>5</v>
      </c>
      <c r="H1192" s="12">
        <v>146.13</v>
      </c>
      <c r="I1192" s="22">
        <v>0</v>
      </c>
      <c r="J1192" s="12">
        <f t="shared" si="37"/>
        <v>730.65</v>
      </c>
      <c r="K1192" s="17" t="s">
        <v>59</v>
      </c>
    </row>
    <row r="1193" spans="1:11" x14ac:dyDescent="0.25">
      <c r="A1193" s="17" t="s">
        <v>1551</v>
      </c>
      <c r="B1193" s="19">
        <v>46191</v>
      </c>
      <c r="C1193" s="20">
        <f t="shared" si="36"/>
        <v>46174</v>
      </c>
      <c r="D1193" s="17" t="s">
        <v>916</v>
      </c>
      <c r="E1193" s="17" t="s">
        <v>21</v>
      </c>
      <c r="F1193" s="17" t="s">
        <v>30</v>
      </c>
      <c r="G1193" s="21">
        <v>4</v>
      </c>
      <c r="H1193" s="12">
        <v>80.58</v>
      </c>
      <c r="I1193" s="22">
        <v>0</v>
      </c>
      <c r="J1193" s="12">
        <f t="shared" si="37"/>
        <v>322.32</v>
      </c>
      <c r="K1193" s="17" t="s">
        <v>59</v>
      </c>
    </row>
    <row r="1194" spans="1:11" x14ac:dyDescent="0.25">
      <c r="A1194" s="17" t="s">
        <v>1552</v>
      </c>
      <c r="B1194" s="19">
        <v>46191</v>
      </c>
      <c r="C1194" s="20">
        <f t="shared" si="36"/>
        <v>46174</v>
      </c>
      <c r="D1194" s="17" t="s">
        <v>649</v>
      </c>
      <c r="E1194" s="17" t="s">
        <v>27</v>
      </c>
      <c r="F1194" s="17" t="s">
        <v>30</v>
      </c>
      <c r="G1194" s="21">
        <v>1</v>
      </c>
      <c r="H1194" s="12">
        <v>12.9</v>
      </c>
      <c r="I1194" s="22">
        <v>0</v>
      </c>
      <c r="J1194" s="12">
        <f t="shared" si="37"/>
        <v>12.9</v>
      </c>
      <c r="K1194" s="17" t="s">
        <v>59</v>
      </c>
    </row>
    <row r="1195" spans="1:11" x14ac:dyDescent="0.25">
      <c r="A1195" s="17" t="s">
        <v>1553</v>
      </c>
      <c r="B1195" s="19">
        <v>46191</v>
      </c>
      <c r="C1195" s="20">
        <f t="shared" si="36"/>
        <v>46174</v>
      </c>
      <c r="D1195" s="17" t="s">
        <v>763</v>
      </c>
      <c r="E1195" s="17" t="s">
        <v>22</v>
      </c>
      <c r="F1195" s="17" t="s">
        <v>30</v>
      </c>
      <c r="G1195" s="21">
        <v>4</v>
      </c>
      <c r="H1195" s="12">
        <v>99.09</v>
      </c>
      <c r="I1195" s="22">
        <v>0</v>
      </c>
      <c r="J1195" s="12">
        <f t="shared" si="37"/>
        <v>396.36</v>
      </c>
      <c r="K1195" s="17" t="s">
        <v>43</v>
      </c>
    </row>
    <row r="1196" spans="1:11" x14ac:dyDescent="0.25">
      <c r="A1196" s="17" t="s">
        <v>1554</v>
      </c>
      <c r="B1196" s="19">
        <v>46191</v>
      </c>
      <c r="C1196" s="20">
        <f t="shared" si="36"/>
        <v>46174</v>
      </c>
      <c r="D1196" s="17" t="s">
        <v>669</v>
      </c>
      <c r="E1196" s="17" t="s">
        <v>17</v>
      </c>
      <c r="F1196" s="17" t="s">
        <v>30</v>
      </c>
      <c r="G1196" s="21">
        <v>1</v>
      </c>
      <c r="H1196" s="12">
        <v>219.33</v>
      </c>
      <c r="I1196" s="22">
        <v>0.15</v>
      </c>
      <c r="J1196" s="12">
        <f t="shared" si="37"/>
        <v>186.43</v>
      </c>
      <c r="K1196" s="17" t="s">
        <v>43</v>
      </c>
    </row>
    <row r="1197" spans="1:11" x14ac:dyDescent="0.25">
      <c r="A1197" s="17" t="s">
        <v>1555</v>
      </c>
      <c r="B1197" s="19">
        <v>46191</v>
      </c>
      <c r="C1197" s="20">
        <f t="shared" si="36"/>
        <v>46174</v>
      </c>
      <c r="D1197" s="17" t="s">
        <v>1148</v>
      </c>
      <c r="E1197" s="17" t="s">
        <v>27</v>
      </c>
      <c r="F1197" s="17" t="s">
        <v>31</v>
      </c>
      <c r="G1197" s="21">
        <v>4</v>
      </c>
      <c r="H1197" s="12">
        <v>12.94</v>
      </c>
      <c r="I1197" s="22">
        <v>0</v>
      </c>
      <c r="J1197" s="12">
        <f t="shared" si="37"/>
        <v>51.76</v>
      </c>
      <c r="K1197" s="17" t="s">
        <v>48</v>
      </c>
    </row>
    <row r="1198" spans="1:11" x14ac:dyDescent="0.25">
      <c r="A1198" s="17" t="s">
        <v>1556</v>
      </c>
      <c r="B1198" s="19">
        <v>46191</v>
      </c>
      <c r="C1198" s="20">
        <f t="shared" si="36"/>
        <v>46174</v>
      </c>
      <c r="D1198" s="17" t="s">
        <v>841</v>
      </c>
      <c r="E1198" s="17" t="s">
        <v>19</v>
      </c>
      <c r="F1198" s="17" t="s">
        <v>31</v>
      </c>
      <c r="G1198" s="21">
        <v>1</v>
      </c>
      <c r="H1198" s="12">
        <v>131.81</v>
      </c>
      <c r="I1198" s="22">
        <v>0</v>
      </c>
      <c r="J1198" s="12">
        <f t="shared" si="37"/>
        <v>131.81</v>
      </c>
      <c r="K1198" s="17" t="s">
        <v>48</v>
      </c>
    </row>
    <row r="1199" spans="1:11" x14ac:dyDescent="0.25">
      <c r="A1199" s="17" t="s">
        <v>1557</v>
      </c>
      <c r="B1199" s="19">
        <v>46192</v>
      </c>
      <c r="C1199" s="20">
        <f t="shared" si="36"/>
        <v>46174</v>
      </c>
      <c r="D1199" s="17" t="s">
        <v>1277</v>
      </c>
      <c r="E1199" s="17" t="s">
        <v>22</v>
      </c>
      <c r="F1199" s="17" t="s">
        <v>30</v>
      </c>
      <c r="G1199" s="21">
        <v>2</v>
      </c>
      <c r="H1199" s="12">
        <v>100.02</v>
      </c>
      <c r="I1199" s="22">
        <v>0</v>
      </c>
      <c r="J1199" s="12">
        <f t="shared" si="37"/>
        <v>200.04</v>
      </c>
      <c r="K1199" s="17" t="s">
        <v>43</v>
      </c>
    </row>
    <row r="1200" spans="1:11" x14ac:dyDescent="0.25">
      <c r="A1200" s="17" t="s">
        <v>1558</v>
      </c>
      <c r="B1200" s="19">
        <v>46192</v>
      </c>
      <c r="C1200" s="20">
        <f t="shared" si="36"/>
        <v>46174</v>
      </c>
      <c r="D1200" s="17" t="s">
        <v>306</v>
      </c>
      <c r="E1200" s="17" t="s">
        <v>16</v>
      </c>
      <c r="F1200" s="17" t="s">
        <v>30</v>
      </c>
      <c r="G1200" s="21">
        <v>5</v>
      </c>
      <c r="H1200" s="12">
        <v>243.78</v>
      </c>
      <c r="I1200" s="22">
        <v>0</v>
      </c>
      <c r="J1200" s="12">
        <f t="shared" si="37"/>
        <v>1218.9000000000001</v>
      </c>
      <c r="K1200" s="17" t="s">
        <v>43</v>
      </c>
    </row>
    <row r="1201" spans="1:11" x14ac:dyDescent="0.25">
      <c r="A1201" s="17" t="s">
        <v>1559</v>
      </c>
      <c r="B1201" s="19">
        <v>46192</v>
      </c>
      <c r="C1201" s="20">
        <f t="shared" si="36"/>
        <v>46174</v>
      </c>
      <c r="D1201" s="17" t="s">
        <v>133</v>
      </c>
      <c r="E1201" s="17" t="s">
        <v>21</v>
      </c>
      <c r="F1201" s="17" t="s">
        <v>31</v>
      </c>
      <c r="G1201" s="21">
        <v>1</v>
      </c>
      <c r="H1201" s="12">
        <v>77.12</v>
      </c>
      <c r="I1201" s="22">
        <v>0</v>
      </c>
      <c r="J1201" s="12">
        <f t="shared" si="37"/>
        <v>77.12</v>
      </c>
      <c r="K1201" s="17" t="s">
        <v>48</v>
      </c>
    </row>
    <row r="1202" spans="1:11" x14ac:dyDescent="0.25">
      <c r="A1202" s="17" t="s">
        <v>1560</v>
      </c>
      <c r="B1202" s="19">
        <v>46192</v>
      </c>
      <c r="C1202" s="20">
        <f t="shared" si="36"/>
        <v>46174</v>
      </c>
      <c r="D1202" s="17" t="s">
        <v>395</v>
      </c>
      <c r="E1202" s="17" t="s">
        <v>22</v>
      </c>
      <c r="F1202" s="17" t="s">
        <v>31</v>
      </c>
      <c r="G1202" s="21">
        <v>2</v>
      </c>
      <c r="H1202" s="12">
        <v>100.86</v>
      </c>
      <c r="I1202" s="22">
        <v>0.1</v>
      </c>
      <c r="J1202" s="12">
        <f t="shared" si="37"/>
        <v>181.55</v>
      </c>
      <c r="K1202" s="17" t="s">
        <v>48</v>
      </c>
    </row>
    <row r="1203" spans="1:11" x14ac:dyDescent="0.25">
      <c r="A1203" s="17" t="s">
        <v>1561</v>
      </c>
      <c r="B1203" s="19">
        <v>46192</v>
      </c>
      <c r="C1203" s="20">
        <f t="shared" si="36"/>
        <v>46174</v>
      </c>
      <c r="D1203" s="17" t="s">
        <v>892</v>
      </c>
      <c r="E1203" s="17" t="s">
        <v>25</v>
      </c>
      <c r="F1203" s="17" t="s">
        <v>31</v>
      </c>
      <c r="G1203" s="21">
        <v>2</v>
      </c>
      <c r="H1203" s="12">
        <v>29.98</v>
      </c>
      <c r="I1203" s="22">
        <v>0</v>
      </c>
      <c r="J1203" s="12">
        <f t="shared" si="37"/>
        <v>59.96</v>
      </c>
      <c r="K1203" s="17" t="s">
        <v>48</v>
      </c>
    </row>
    <row r="1204" spans="1:11" x14ac:dyDescent="0.25">
      <c r="A1204" s="17" t="s">
        <v>1562</v>
      </c>
      <c r="B1204" s="19">
        <v>46193</v>
      </c>
      <c r="C1204" s="20">
        <f t="shared" si="36"/>
        <v>46174</v>
      </c>
      <c r="D1204" s="17" t="s">
        <v>274</v>
      </c>
      <c r="E1204" s="17" t="s">
        <v>23</v>
      </c>
      <c r="F1204" s="17" t="s">
        <v>30</v>
      </c>
      <c r="G1204" s="21">
        <v>2</v>
      </c>
      <c r="H1204" s="12">
        <v>59.92</v>
      </c>
      <c r="I1204" s="22">
        <v>0.15</v>
      </c>
      <c r="J1204" s="12">
        <f t="shared" si="37"/>
        <v>101.86</v>
      </c>
      <c r="K1204" s="17" t="s">
        <v>59</v>
      </c>
    </row>
    <row r="1205" spans="1:11" x14ac:dyDescent="0.25">
      <c r="A1205" s="17" t="s">
        <v>1563</v>
      </c>
      <c r="B1205" s="19">
        <v>46193</v>
      </c>
      <c r="C1205" s="20">
        <f t="shared" si="36"/>
        <v>46174</v>
      </c>
      <c r="D1205" s="17" t="s">
        <v>67</v>
      </c>
      <c r="E1205" s="17" t="s">
        <v>25</v>
      </c>
      <c r="F1205" s="17" t="s">
        <v>30</v>
      </c>
      <c r="G1205" s="21">
        <v>4</v>
      </c>
      <c r="H1205" s="12">
        <v>30.59</v>
      </c>
      <c r="I1205" s="22">
        <v>0</v>
      </c>
      <c r="J1205" s="12">
        <f t="shared" si="37"/>
        <v>122.36</v>
      </c>
      <c r="K1205" s="17" t="s">
        <v>59</v>
      </c>
    </row>
    <row r="1206" spans="1:11" x14ac:dyDescent="0.25">
      <c r="A1206" s="17" t="s">
        <v>1564</v>
      </c>
      <c r="B1206" s="19">
        <v>46193</v>
      </c>
      <c r="C1206" s="20">
        <f t="shared" si="36"/>
        <v>46174</v>
      </c>
      <c r="D1206" s="17" t="s">
        <v>251</v>
      </c>
      <c r="E1206" s="17" t="s">
        <v>27</v>
      </c>
      <c r="F1206" s="17" t="s">
        <v>30</v>
      </c>
      <c r="G1206" s="21">
        <v>5</v>
      </c>
      <c r="H1206" s="12">
        <v>13.01</v>
      </c>
      <c r="I1206" s="22">
        <v>0</v>
      </c>
      <c r="J1206" s="12">
        <f t="shared" si="37"/>
        <v>65.05</v>
      </c>
      <c r="K1206" s="17" t="s">
        <v>43</v>
      </c>
    </row>
    <row r="1207" spans="1:11" x14ac:dyDescent="0.25">
      <c r="A1207" s="17" t="s">
        <v>1565</v>
      </c>
      <c r="B1207" s="19">
        <v>46193</v>
      </c>
      <c r="C1207" s="20">
        <f t="shared" si="36"/>
        <v>46174</v>
      </c>
      <c r="D1207" s="17" t="s">
        <v>594</v>
      </c>
      <c r="E1207" s="17" t="s">
        <v>26</v>
      </c>
      <c r="F1207" s="17" t="s">
        <v>30</v>
      </c>
      <c r="G1207" s="21">
        <v>1</v>
      </c>
      <c r="H1207" s="12">
        <v>25.21</v>
      </c>
      <c r="I1207" s="22">
        <v>0</v>
      </c>
      <c r="J1207" s="12">
        <f t="shared" si="37"/>
        <v>25.21</v>
      </c>
      <c r="K1207" s="17" t="s">
        <v>43</v>
      </c>
    </row>
    <row r="1208" spans="1:11" x14ac:dyDescent="0.25">
      <c r="A1208" s="17" t="s">
        <v>1566</v>
      </c>
      <c r="B1208" s="19">
        <v>46193</v>
      </c>
      <c r="C1208" s="20">
        <f t="shared" si="36"/>
        <v>46174</v>
      </c>
      <c r="D1208" s="17" t="s">
        <v>1094</v>
      </c>
      <c r="E1208" s="17" t="s">
        <v>18</v>
      </c>
      <c r="F1208" s="17" t="s">
        <v>31</v>
      </c>
      <c r="G1208" s="21">
        <v>2</v>
      </c>
      <c r="H1208" s="12">
        <v>147</v>
      </c>
      <c r="I1208" s="22">
        <v>0.15</v>
      </c>
      <c r="J1208" s="12">
        <f t="shared" si="37"/>
        <v>249.9</v>
      </c>
      <c r="K1208" s="17" t="s">
        <v>48</v>
      </c>
    </row>
    <row r="1209" spans="1:11" x14ac:dyDescent="0.25">
      <c r="A1209" s="17" t="s">
        <v>1567</v>
      </c>
      <c r="B1209" s="19">
        <v>46193</v>
      </c>
      <c r="C1209" s="20">
        <f t="shared" si="36"/>
        <v>46174</v>
      </c>
      <c r="D1209" s="17" t="s">
        <v>431</v>
      </c>
      <c r="E1209" s="17" t="s">
        <v>22</v>
      </c>
      <c r="F1209" s="17" t="s">
        <v>31</v>
      </c>
      <c r="G1209" s="21">
        <v>2</v>
      </c>
      <c r="H1209" s="12">
        <v>98.69</v>
      </c>
      <c r="I1209" s="22">
        <v>0</v>
      </c>
      <c r="J1209" s="12">
        <f t="shared" si="37"/>
        <v>197.38</v>
      </c>
      <c r="K1209" s="17" t="s">
        <v>48</v>
      </c>
    </row>
    <row r="1210" spans="1:11" x14ac:dyDescent="0.25">
      <c r="A1210" s="17" t="s">
        <v>1568</v>
      </c>
      <c r="B1210" s="19">
        <v>46193</v>
      </c>
      <c r="C1210" s="20">
        <f t="shared" si="36"/>
        <v>46174</v>
      </c>
      <c r="D1210" s="17" t="s">
        <v>227</v>
      </c>
      <c r="E1210" s="17" t="s">
        <v>20</v>
      </c>
      <c r="F1210" s="17" t="s">
        <v>31</v>
      </c>
      <c r="G1210" s="21">
        <v>4</v>
      </c>
      <c r="H1210" s="12">
        <v>87.15</v>
      </c>
      <c r="I1210" s="22">
        <v>0.1</v>
      </c>
      <c r="J1210" s="12">
        <f t="shared" si="37"/>
        <v>313.74</v>
      </c>
      <c r="K1210" s="17" t="s">
        <v>48</v>
      </c>
    </row>
    <row r="1211" spans="1:11" x14ac:dyDescent="0.25">
      <c r="A1211" s="17" t="s">
        <v>1569</v>
      </c>
      <c r="B1211" s="19">
        <v>46194</v>
      </c>
      <c r="C1211" s="20">
        <f t="shared" si="36"/>
        <v>46174</v>
      </c>
      <c r="D1211" s="17" t="s">
        <v>166</v>
      </c>
      <c r="E1211" s="17" t="s">
        <v>21</v>
      </c>
      <c r="F1211" s="17" t="s">
        <v>30</v>
      </c>
      <c r="G1211" s="21">
        <v>1</v>
      </c>
      <c r="H1211" s="12">
        <v>77.88</v>
      </c>
      <c r="I1211" s="22">
        <v>0</v>
      </c>
      <c r="J1211" s="12">
        <f t="shared" si="37"/>
        <v>77.88</v>
      </c>
      <c r="K1211" s="17" t="s">
        <v>59</v>
      </c>
    </row>
    <row r="1212" spans="1:11" x14ac:dyDescent="0.25">
      <c r="A1212" s="17" t="s">
        <v>1570</v>
      </c>
      <c r="B1212" s="19">
        <v>46194</v>
      </c>
      <c r="C1212" s="20">
        <f t="shared" si="36"/>
        <v>46174</v>
      </c>
      <c r="D1212" s="17" t="s">
        <v>150</v>
      </c>
      <c r="E1212" s="17" t="s">
        <v>25</v>
      </c>
      <c r="F1212" s="17" t="s">
        <v>30</v>
      </c>
      <c r="G1212" s="21">
        <v>2</v>
      </c>
      <c r="H1212" s="12">
        <v>30.65</v>
      </c>
      <c r="I1212" s="22">
        <v>0</v>
      </c>
      <c r="J1212" s="12">
        <f t="shared" si="37"/>
        <v>61.3</v>
      </c>
      <c r="K1212" s="17" t="s">
        <v>59</v>
      </c>
    </row>
    <row r="1213" spans="1:11" x14ac:dyDescent="0.25">
      <c r="A1213" s="17" t="s">
        <v>1571</v>
      </c>
      <c r="B1213" s="19">
        <v>46194</v>
      </c>
      <c r="C1213" s="20">
        <f t="shared" si="36"/>
        <v>46174</v>
      </c>
      <c r="D1213" s="17" t="s">
        <v>318</v>
      </c>
      <c r="E1213" s="17" t="s">
        <v>18</v>
      </c>
      <c r="F1213" s="17" t="s">
        <v>30</v>
      </c>
      <c r="G1213" s="21">
        <v>1</v>
      </c>
      <c r="H1213" s="12">
        <v>151.99</v>
      </c>
      <c r="I1213" s="22">
        <v>0.15</v>
      </c>
      <c r="J1213" s="12">
        <f t="shared" si="37"/>
        <v>129.19</v>
      </c>
      <c r="K1213" s="17" t="s">
        <v>59</v>
      </c>
    </row>
    <row r="1214" spans="1:11" x14ac:dyDescent="0.25">
      <c r="A1214" s="17" t="s">
        <v>1572</v>
      </c>
      <c r="B1214" s="19">
        <v>46194</v>
      </c>
      <c r="C1214" s="20">
        <f t="shared" si="36"/>
        <v>46174</v>
      </c>
      <c r="D1214" s="17" t="s">
        <v>452</v>
      </c>
      <c r="E1214" s="17" t="s">
        <v>21</v>
      </c>
      <c r="F1214" s="17" t="s">
        <v>30</v>
      </c>
      <c r="G1214" s="21">
        <v>2</v>
      </c>
      <c r="H1214" s="12">
        <v>76.66</v>
      </c>
      <c r="I1214" s="22">
        <v>0.15</v>
      </c>
      <c r="J1214" s="12">
        <f t="shared" si="37"/>
        <v>130.32</v>
      </c>
      <c r="K1214" s="17" t="s">
        <v>59</v>
      </c>
    </row>
    <row r="1215" spans="1:11" x14ac:dyDescent="0.25">
      <c r="A1215" s="17" t="s">
        <v>1573</v>
      </c>
      <c r="B1215" s="19">
        <v>46194</v>
      </c>
      <c r="C1215" s="20">
        <f t="shared" si="36"/>
        <v>46174</v>
      </c>
      <c r="D1215" s="17" t="s">
        <v>258</v>
      </c>
      <c r="E1215" s="17" t="s">
        <v>16</v>
      </c>
      <c r="F1215" s="17" t="s">
        <v>30</v>
      </c>
      <c r="G1215" s="21">
        <v>2</v>
      </c>
      <c r="H1215" s="12">
        <v>243.36</v>
      </c>
      <c r="I1215" s="22">
        <v>0.15</v>
      </c>
      <c r="J1215" s="12">
        <f t="shared" si="37"/>
        <v>413.71</v>
      </c>
      <c r="K1215" s="17" t="s">
        <v>43</v>
      </c>
    </row>
    <row r="1216" spans="1:11" x14ac:dyDescent="0.25">
      <c r="A1216" s="17" t="s">
        <v>1574</v>
      </c>
      <c r="B1216" s="19">
        <v>46194</v>
      </c>
      <c r="C1216" s="20">
        <f t="shared" si="36"/>
        <v>46174</v>
      </c>
      <c r="D1216" s="17" t="s">
        <v>268</v>
      </c>
      <c r="E1216" s="17" t="s">
        <v>19</v>
      </c>
      <c r="F1216" s="17" t="s">
        <v>31</v>
      </c>
      <c r="G1216" s="21">
        <v>1</v>
      </c>
      <c r="H1216" s="12">
        <v>126.33</v>
      </c>
      <c r="I1216" s="22">
        <v>0.1</v>
      </c>
      <c r="J1216" s="12">
        <f t="shared" si="37"/>
        <v>113.7</v>
      </c>
      <c r="K1216" s="17" t="s">
        <v>48</v>
      </c>
    </row>
    <row r="1217" spans="1:11" x14ac:dyDescent="0.25">
      <c r="A1217" s="17" t="s">
        <v>1575</v>
      </c>
      <c r="B1217" s="19">
        <v>46194</v>
      </c>
      <c r="C1217" s="20">
        <f t="shared" si="36"/>
        <v>46174</v>
      </c>
      <c r="D1217" s="17" t="s">
        <v>278</v>
      </c>
      <c r="E1217" s="17" t="s">
        <v>17</v>
      </c>
      <c r="F1217" s="17" t="s">
        <v>31</v>
      </c>
      <c r="G1217" s="21">
        <v>1</v>
      </c>
      <c r="H1217" s="12">
        <v>220.47</v>
      </c>
      <c r="I1217" s="22">
        <v>0.05</v>
      </c>
      <c r="J1217" s="12">
        <f t="shared" si="37"/>
        <v>209.45</v>
      </c>
      <c r="K1217" s="17" t="s">
        <v>48</v>
      </c>
    </row>
    <row r="1218" spans="1:11" x14ac:dyDescent="0.25">
      <c r="A1218" s="17" t="s">
        <v>1576</v>
      </c>
      <c r="B1218" s="19">
        <v>46195</v>
      </c>
      <c r="C1218" s="20">
        <f t="shared" ref="C1218:C1281" si="38">DATE(YEAR(B1218),MONTH(B1218),1)</f>
        <v>46174</v>
      </c>
      <c r="D1218" s="17" t="s">
        <v>1286</v>
      </c>
      <c r="E1218" s="17" t="s">
        <v>24</v>
      </c>
      <c r="F1218" s="17" t="s">
        <v>30</v>
      </c>
      <c r="G1218" s="21">
        <v>5</v>
      </c>
      <c r="H1218" s="12">
        <v>34.549999999999997</v>
      </c>
      <c r="I1218" s="22">
        <v>0.1</v>
      </c>
      <c r="J1218" s="12">
        <f t="shared" ref="J1218:J1281" si="39">ROUND(G1218*H1218*(1-I1218),2)</f>
        <v>155.47999999999999</v>
      </c>
      <c r="K1218" s="17" t="s">
        <v>59</v>
      </c>
    </row>
    <row r="1219" spans="1:11" x14ac:dyDescent="0.25">
      <c r="A1219" s="17" t="s">
        <v>1577</v>
      </c>
      <c r="B1219" s="19">
        <v>46195</v>
      </c>
      <c r="C1219" s="20">
        <f t="shared" si="38"/>
        <v>46174</v>
      </c>
      <c r="D1219" s="17" t="s">
        <v>1578</v>
      </c>
      <c r="E1219" s="17" t="s">
        <v>16</v>
      </c>
      <c r="F1219" s="17" t="s">
        <v>30</v>
      </c>
      <c r="G1219" s="21">
        <v>1</v>
      </c>
      <c r="H1219" s="12">
        <v>244.88</v>
      </c>
      <c r="I1219" s="22">
        <v>0.15</v>
      </c>
      <c r="J1219" s="12">
        <f t="shared" si="39"/>
        <v>208.15</v>
      </c>
      <c r="K1219" s="17" t="s">
        <v>59</v>
      </c>
    </row>
    <row r="1220" spans="1:11" x14ac:dyDescent="0.25">
      <c r="A1220" s="17" t="s">
        <v>1579</v>
      </c>
      <c r="B1220" s="19">
        <v>46195</v>
      </c>
      <c r="C1220" s="20">
        <f t="shared" si="38"/>
        <v>46174</v>
      </c>
      <c r="D1220" s="17" t="s">
        <v>297</v>
      </c>
      <c r="E1220" s="17" t="s">
        <v>18</v>
      </c>
      <c r="F1220" s="17" t="s">
        <v>30</v>
      </c>
      <c r="G1220" s="21">
        <v>5</v>
      </c>
      <c r="H1220" s="12">
        <v>151.34</v>
      </c>
      <c r="I1220" s="22">
        <v>0</v>
      </c>
      <c r="J1220" s="12">
        <f t="shared" si="39"/>
        <v>756.7</v>
      </c>
      <c r="K1220" s="17" t="s">
        <v>59</v>
      </c>
    </row>
    <row r="1221" spans="1:11" x14ac:dyDescent="0.25">
      <c r="A1221" s="17" t="s">
        <v>1580</v>
      </c>
      <c r="B1221" s="19">
        <v>46195</v>
      </c>
      <c r="C1221" s="20">
        <f t="shared" si="38"/>
        <v>46174</v>
      </c>
      <c r="D1221" s="17" t="s">
        <v>346</v>
      </c>
      <c r="E1221" s="17" t="s">
        <v>21</v>
      </c>
      <c r="F1221" s="17" t="s">
        <v>30</v>
      </c>
      <c r="G1221" s="21">
        <v>1</v>
      </c>
      <c r="H1221" s="12">
        <v>79.67</v>
      </c>
      <c r="I1221" s="22">
        <v>0.05</v>
      </c>
      <c r="J1221" s="12">
        <f t="shared" si="39"/>
        <v>75.69</v>
      </c>
      <c r="K1221" s="17" t="s">
        <v>43</v>
      </c>
    </row>
    <row r="1222" spans="1:11" x14ac:dyDescent="0.25">
      <c r="A1222" s="17" t="s">
        <v>1581</v>
      </c>
      <c r="B1222" s="19">
        <v>46195</v>
      </c>
      <c r="C1222" s="20">
        <f t="shared" si="38"/>
        <v>46174</v>
      </c>
      <c r="D1222" s="17" t="s">
        <v>127</v>
      </c>
      <c r="E1222" s="17" t="s">
        <v>24</v>
      </c>
      <c r="F1222" s="17" t="s">
        <v>31</v>
      </c>
      <c r="G1222" s="21">
        <v>5</v>
      </c>
      <c r="H1222" s="12">
        <v>34.86</v>
      </c>
      <c r="I1222" s="22">
        <v>0.15</v>
      </c>
      <c r="J1222" s="12">
        <f t="shared" si="39"/>
        <v>148.16</v>
      </c>
      <c r="K1222" s="17" t="s">
        <v>48</v>
      </c>
    </row>
    <row r="1223" spans="1:11" x14ac:dyDescent="0.25">
      <c r="A1223" s="17" t="s">
        <v>1582</v>
      </c>
      <c r="B1223" s="19">
        <v>46195</v>
      </c>
      <c r="C1223" s="20">
        <f t="shared" si="38"/>
        <v>46174</v>
      </c>
      <c r="D1223" s="17" t="s">
        <v>807</v>
      </c>
      <c r="E1223" s="17" t="s">
        <v>20</v>
      </c>
      <c r="F1223" s="17" t="s">
        <v>31</v>
      </c>
      <c r="G1223" s="21">
        <v>2</v>
      </c>
      <c r="H1223" s="12">
        <v>90.42</v>
      </c>
      <c r="I1223" s="22">
        <v>0.1</v>
      </c>
      <c r="J1223" s="12">
        <f t="shared" si="39"/>
        <v>162.76</v>
      </c>
      <c r="K1223" s="17" t="s">
        <v>48</v>
      </c>
    </row>
    <row r="1224" spans="1:11" x14ac:dyDescent="0.25">
      <c r="A1224" s="17" t="s">
        <v>1583</v>
      </c>
      <c r="B1224" s="19">
        <v>46195</v>
      </c>
      <c r="C1224" s="20">
        <f t="shared" si="38"/>
        <v>46174</v>
      </c>
      <c r="D1224" s="17" t="s">
        <v>1313</v>
      </c>
      <c r="E1224" s="17" t="s">
        <v>26</v>
      </c>
      <c r="F1224" s="17" t="s">
        <v>31</v>
      </c>
      <c r="G1224" s="21">
        <v>2</v>
      </c>
      <c r="H1224" s="12">
        <v>24.33</v>
      </c>
      <c r="I1224" s="22">
        <v>0</v>
      </c>
      <c r="J1224" s="12">
        <f t="shared" si="39"/>
        <v>48.66</v>
      </c>
      <c r="K1224" s="17" t="s">
        <v>48</v>
      </c>
    </row>
    <row r="1225" spans="1:11" x14ac:dyDescent="0.25">
      <c r="A1225" s="17" t="s">
        <v>1584</v>
      </c>
      <c r="B1225" s="19">
        <v>46196</v>
      </c>
      <c r="C1225" s="20">
        <f t="shared" si="38"/>
        <v>46174</v>
      </c>
      <c r="D1225" s="17" t="s">
        <v>133</v>
      </c>
      <c r="E1225" s="17" t="s">
        <v>17</v>
      </c>
      <c r="F1225" s="17" t="s">
        <v>30</v>
      </c>
      <c r="G1225" s="21">
        <v>1</v>
      </c>
      <c r="H1225" s="12">
        <v>218.62</v>
      </c>
      <c r="I1225" s="22">
        <v>0</v>
      </c>
      <c r="J1225" s="12">
        <f t="shared" si="39"/>
        <v>218.62</v>
      </c>
      <c r="K1225" s="17" t="s">
        <v>59</v>
      </c>
    </row>
    <row r="1226" spans="1:11" x14ac:dyDescent="0.25">
      <c r="A1226" s="17" t="s">
        <v>1585</v>
      </c>
      <c r="B1226" s="19">
        <v>46196</v>
      </c>
      <c r="C1226" s="20">
        <f t="shared" si="38"/>
        <v>46174</v>
      </c>
      <c r="D1226" s="17" t="s">
        <v>148</v>
      </c>
      <c r="E1226" s="17" t="s">
        <v>24</v>
      </c>
      <c r="F1226" s="17" t="s">
        <v>30</v>
      </c>
      <c r="G1226" s="21">
        <v>1</v>
      </c>
      <c r="H1226" s="12">
        <v>35.24</v>
      </c>
      <c r="I1226" s="22">
        <v>0</v>
      </c>
      <c r="J1226" s="12">
        <f t="shared" si="39"/>
        <v>35.24</v>
      </c>
      <c r="K1226" s="17" t="s">
        <v>59</v>
      </c>
    </row>
    <row r="1227" spans="1:11" x14ac:dyDescent="0.25">
      <c r="A1227" s="17" t="s">
        <v>1586</v>
      </c>
      <c r="B1227" s="19">
        <v>46196</v>
      </c>
      <c r="C1227" s="20">
        <f t="shared" si="38"/>
        <v>46174</v>
      </c>
      <c r="D1227" s="17" t="s">
        <v>719</v>
      </c>
      <c r="E1227" s="17" t="s">
        <v>22</v>
      </c>
      <c r="F1227" s="17" t="s">
        <v>30</v>
      </c>
      <c r="G1227" s="21">
        <v>1</v>
      </c>
      <c r="H1227" s="12">
        <v>98.96</v>
      </c>
      <c r="I1227" s="22">
        <v>0</v>
      </c>
      <c r="J1227" s="12">
        <f t="shared" si="39"/>
        <v>98.96</v>
      </c>
      <c r="K1227" s="17" t="s">
        <v>43</v>
      </c>
    </row>
    <row r="1228" spans="1:11" x14ac:dyDescent="0.25">
      <c r="A1228" s="17" t="s">
        <v>1587</v>
      </c>
      <c r="B1228" s="19">
        <v>46196</v>
      </c>
      <c r="C1228" s="20">
        <f t="shared" si="38"/>
        <v>46174</v>
      </c>
      <c r="D1228" s="17" t="s">
        <v>911</v>
      </c>
      <c r="E1228" s="17" t="s">
        <v>17</v>
      </c>
      <c r="F1228" s="17" t="s">
        <v>30</v>
      </c>
      <c r="G1228" s="21">
        <v>4</v>
      </c>
      <c r="H1228" s="12">
        <v>214.43</v>
      </c>
      <c r="I1228" s="22">
        <v>0.15</v>
      </c>
      <c r="J1228" s="12">
        <f t="shared" si="39"/>
        <v>729.06</v>
      </c>
      <c r="K1228" s="17" t="s">
        <v>43</v>
      </c>
    </row>
    <row r="1229" spans="1:11" x14ac:dyDescent="0.25">
      <c r="A1229" s="17" t="s">
        <v>1588</v>
      </c>
      <c r="B1229" s="19">
        <v>46196</v>
      </c>
      <c r="C1229" s="20">
        <f t="shared" si="38"/>
        <v>46174</v>
      </c>
      <c r="D1229" s="17" t="s">
        <v>144</v>
      </c>
      <c r="E1229" s="17" t="s">
        <v>23</v>
      </c>
      <c r="F1229" s="17" t="s">
        <v>31</v>
      </c>
      <c r="G1229" s="21">
        <v>1</v>
      </c>
      <c r="H1229" s="12">
        <v>60.62</v>
      </c>
      <c r="I1229" s="22">
        <v>0</v>
      </c>
      <c r="J1229" s="12">
        <f t="shared" si="39"/>
        <v>60.62</v>
      </c>
      <c r="K1229" s="17" t="s">
        <v>48</v>
      </c>
    </row>
    <row r="1230" spans="1:11" x14ac:dyDescent="0.25">
      <c r="A1230" s="17" t="s">
        <v>1589</v>
      </c>
      <c r="B1230" s="19">
        <v>46197</v>
      </c>
      <c r="C1230" s="20">
        <f t="shared" si="38"/>
        <v>46174</v>
      </c>
      <c r="D1230" s="17" t="s">
        <v>629</v>
      </c>
      <c r="E1230" s="17" t="s">
        <v>19</v>
      </c>
      <c r="F1230" s="17" t="s">
        <v>30</v>
      </c>
      <c r="G1230" s="21">
        <v>2</v>
      </c>
      <c r="H1230" s="12">
        <v>125.16</v>
      </c>
      <c r="I1230" s="22">
        <v>0</v>
      </c>
      <c r="J1230" s="12">
        <f t="shared" si="39"/>
        <v>250.32</v>
      </c>
      <c r="K1230" s="17" t="s">
        <v>59</v>
      </c>
    </row>
    <row r="1231" spans="1:11" x14ac:dyDescent="0.25">
      <c r="A1231" s="17" t="s">
        <v>1590</v>
      </c>
      <c r="B1231" s="19">
        <v>46197</v>
      </c>
      <c r="C1231" s="20">
        <f t="shared" si="38"/>
        <v>46174</v>
      </c>
      <c r="D1231" s="17" t="s">
        <v>181</v>
      </c>
      <c r="E1231" s="17" t="s">
        <v>19</v>
      </c>
      <c r="F1231" s="17" t="s">
        <v>30</v>
      </c>
      <c r="G1231" s="21">
        <v>1</v>
      </c>
      <c r="H1231" s="12">
        <v>129.4</v>
      </c>
      <c r="I1231" s="22">
        <v>0</v>
      </c>
      <c r="J1231" s="12">
        <f t="shared" si="39"/>
        <v>129.4</v>
      </c>
      <c r="K1231" s="17" t="s">
        <v>59</v>
      </c>
    </row>
    <row r="1232" spans="1:11" x14ac:dyDescent="0.25">
      <c r="A1232" s="17" t="s">
        <v>1591</v>
      </c>
      <c r="B1232" s="19">
        <v>46197</v>
      </c>
      <c r="C1232" s="20">
        <f t="shared" si="38"/>
        <v>46174</v>
      </c>
      <c r="D1232" s="17" t="s">
        <v>78</v>
      </c>
      <c r="E1232" s="17" t="s">
        <v>24</v>
      </c>
      <c r="F1232" s="17" t="s">
        <v>30</v>
      </c>
      <c r="G1232" s="21">
        <v>1</v>
      </c>
      <c r="H1232" s="12">
        <v>34.020000000000003</v>
      </c>
      <c r="I1232" s="22">
        <v>0</v>
      </c>
      <c r="J1232" s="12">
        <f t="shared" si="39"/>
        <v>34.020000000000003</v>
      </c>
      <c r="K1232" s="17" t="s">
        <v>43</v>
      </c>
    </row>
    <row r="1233" spans="1:11" x14ac:dyDescent="0.25">
      <c r="A1233" s="17" t="s">
        <v>1592</v>
      </c>
      <c r="B1233" s="19">
        <v>46197</v>
      </c>
      <c r="C1233" s="20">
        <f t="shared" si="38"/>
        <v>46174</v>
      </c>
      <c r="D1233" s="17" t="s">
        <v>656</v>
      </c>
      <c r="E1233" s="17" t="s">
        <v>27</v>
      </c>
      <c r="F1233" s="17" t="s">
        <v>30</v>
      </c>
      <c r="G1233" s="21">
        <v>1</v>
      </c>
      <c r="H1233" s="12">
        <v>13.08</v>
      </c>
      <c r="I1233" s="22">
        <v>0.1</v>
      </c>
      <c r="J1233" s="12">
        <f t="shared" si="39"/>
        <v>11.77</v>
      </c>
      <c r="K1233" s="17" t="s">
        <v>43</v>
      </c>
    </row>
    <row r="1234" spans="1:11" x14ac:dyDescent="0.25">
      <c r="A1234" s="17" t="s">
        <v>1593</v>
      </c>
      <c r="B1234" s="19">
        <v>46197</v>
      </c>
      <c r="C1234" s="20">
        <f t="shared" si="38"/>
        <v>46174</v>
      </c>
      <c r="D1234" s="17" t="s">
        <v>441</v>
      </c>
      <c r="E1234" s="17" t="s">
        <v>17</v>
      </c>
      <c r="F1234" s="17" t="s">
        <v>31</v>
      </c>
      <c r="G1234" s="21">
        <v>1</v>
      </c>
      <c r="H1234" s="12">
        <v>223.38</v>
      </c>
      <c r="I1234" s="22">
        <v>0</v>
      </c>
      <c r="J1234" s="12">
        <f t="shared" si="39"/>
        <v>223.38</v>
      </c>
      <c r="K1234" s="17" t="s">
        <v>48</v>
      </c>
    </row>
    <row r="1235" spans="1:11" x14ac:dyDescent="0.25">
      <c r="A1235" s="17" t="s">
        <v>1594</v>
      </c>
      <c r="B1235" s="19">
        <v>46197</v>
      </c>
      <c r="C1235" s="20">
        <f t="shared" si="38"/>
        <v>46174</v>
      </c>
      <c r="D1235" s="17" t="s">
        <v>304</v>
      </c>
      <c r="E1235" s="17" t="s">
        <v>16</v>
      </c>
      <c r="F1235" s="17" t="s">
        <v>31</v>
      </c>
      <c r="G1235" s="21">
        <v>5</v>
      </c>
      <c r="H1235" s="12">
        <v>245.65</v>
      </c>
      <c r="I1235" s="22">
        <v>0</v>
      </c>
      <c r="J1235" s="12">
        <f t="shared" si="39"/>
        <v>1228.25</v>
      </c>
      <c r="K1235" s="17" t="s">
        <v>48</v>
      </c>
    </row>
    <row r="1236" spans="1:11" x14ac:dyDescent="0.25">
      <c r="A1236" s="17" t="s">
        <v>1595</v>
      </c>
      <c r="B1236" s="19">
        <v>46197</v>
      </c>
      <c r="C1236" s="20">
        <f t="shared" si="38"/>
        <v>46174</v>
      </c>
      <c r="D1236" s="17" t="s">
        <v>1295</v>
      </c>
      <c r="E1236" s="17" t="s">
        <v>23</v>
      </c>
      <c r="F1236" s="17" t="s">
        <v>31</v>
      </c>
      <c r="G1236" s="21">
        <v>1</v>
      </c>
      <c r="H1236" s="12">
        <v>59.61</v>
      </c>
      <c r="I1236" s="22">
        <v>0.15</v>
      </c>
      <c r="J1236" s="12">
        <f t="shared" si="39"/>
        <v>50.67</v>
      </c>
      <c r="K1236" s="17" t="s">
        <v>48</v>
      </c>
    </row>
    <row r="1237" spans="1:11" x14ac:dyDescent="0.25">
      <c r="A1237" s="17" t="s">
        <v>1596</v>
      </c>
      <c r="B1237" s="19">
        <v>46198</v>
      </c>
      <c r="C1237" s="20">
        <f t="shared" si="38"/>
        <v>46174</v>
      </c>
      <c r="D1237" s="17" t="s">
        <v>911</v>
      </c>
      <c r="E1237" s="17" t="s">
        <v>20</v>
      </c>
      <c r="F1237" s="17" t="s">
        <v>30</v>
      </c>
      <c r="G1237" s="21">
        <v>2</v>
      </c>
      <c r="H1237" s="12">
        <v>86.82</v>
      </c>
      <c r="I1237" s="22">
        <v>0</v>
      </c>
      <c r="J1237" s="12">
        <f t="shared" si="39"/>
        <v>173.64</v>
      </c>
      <c r="K1237" s="17" t="s">
        <v>59</v>
      </c>
    </row>
    <row r="1238" spans="1:11" x14ac:dyDescent="0.25">
      <c r="A1238" s="17" t="s">
        <v>1597</v>
      </c>
      <c r="B1238" s="19">
        <v>46198</v>
      </c>
      <c r="C1238" s="20">
        <f t="shared" si="38"/>
        <v>46174</v>
      </c>
      <c r="D1238" s="17" t="s">
        <v>190</v>
      </c>
      <c r="E1238" s="17" t="s">
        <v>25</v>
      </c>
      <c r="F1238" s="17" t="s">
        <v>30</v>
      </c>
      <c r="G1238" s="21">
        <v>2</v>
      </c>
      <c r="H1238" s="12">
        <v>29.65</v>
      </c>
      <c r="I1238" s="22">
        <v>0.1</v>
      </c>
      <c r="J1238" s="12">
        <f t="shared" si="39"/>
        <v>53.37</v>
      </c>
      <c r="K1238" s="17" t="s">
        <v>59</v>
      </c>
    </row>
    <row r="1239" spans="1:11" x14ac:dyDescent="0.25">
      <c r="A1239" s="17" t="s">
        <v>1598</v>
      </c>
      <c r="B1239" s="19">
        <v>46198</v>
      </c>
      <c r="C1239" s="20">
        <f t="shared" si="38"/>
        <v>46174</v>
      </c>
      <c r="D1239" s="17" t="s">
        <v>120</v>
      </c>
      <c r="E1239" s="17" t="s">
        <v>16</v>
      </c>
      <c r="F1239" s="17" t="s">
        <v>30</v>
      </c>
      <c r="G1239" s="21">
        <v>5</v>
      </c>
      <c r="H1239" s="12">
        <v>246.87</v>
      </c>
      <c r="I1239" s="22">
        <v>0.1</v>
      </c>
      <c r="J1239" s="12">
        <f t="shared" si="39"/>
        <v>1110.92</v>
      </c>
      <c r="K1239" s="17" t="s">
        <v>59</v>
      </c>
    </row>
    <row r="1240" spans="1:11" x14ac:dyDescent="0.25">
      <c r="A1240" s="17" t="s">
        <v>1599</v>
      </c>
      <c r="B1240" s="19">
        <v>46198</v>
      </c>
      <c r="C1240" s="20">
        <f t="shared" si="38"/>
        <v>46174</v>
      </c>
      <c r="D1240" s="17" t="s">
        <v>605</v>
      </c>
      <c r="E1240" s="17" t="s">
        <v>27</v>
      </c>
      <c r="F1240" s="17" t="s">
        <v>30</v>
      </c>
      <c r="G1240" s="21">
        <v>4</v>
      </c>
      <c r="H1240" s="12">
        <v>13.3</v>
      </c>
      <c r="I1240" s="22">
        <v>0</v>
      </c>
      <c r="J1240" s="12">
        <f t="shared" si="39"/>
        <v>53.2</v>
      </c>
      <c r="K1240" s="17" t="s">
        <v>43</v>
      </c>
    </row>
    <row r="1241" spans="1:11" x14ac:dyDescent="0.25">
      <c r="A1241" s="17" t="s">
        <v>1600</v>
      </c>
      <c r="B1241" s="19">
        <v>46198</v>
      </c>
      <c r="C1241" s="20">
        <f t="shared" si="38"/>
        <v>46174</v>
      </c>
      <c r="D1241" s="17" t="s">
        <v>333</v>
      </c>
      <c r="E1241" s="17" t="s">
        <v>17</v>
      </c>
      <c r="F1241" s="17" t="s">
        <v>30</v>
      </c>
      <c r="G1241" s="21">
        <v>5</v>
      </c>
      <c r="H1241" s="12">
        <v>222.27</v>
      </c>
      <c r="I1241" s="22">
        <v>0.05</v>
      </c>
      <c r="J1241" s="12">
        <f t="shared" si="39"/>
        <v>1055.78</v>
      </c>
      <c r="K1241" s="17" t="s">
        <v>43</v>
      </c>
    </row>
    <row r="1242" spans="1:11" x14ac:dyDescent="0.25">
      <c r="A1242" s="17" t="s">
        <v>1601</v>
      </c>
      <c r="B1242" s="19">
        <v>46198</v>
      </c>
      <c r="C1242" s="20">
        <f t="shared" si="38"/>
        <v>46174</v>
      </c>
      <c r="D1242" s="17" t="s">
        <v>166</v>
      </c>
      <c r="E1242" s="17" t="s">
        <v>19</v>
      </c>
      <c r="F1242" s="17" t="s">
        <v>31</v>
      </c>
      <c r="G1242" s="21">
        <v>3</v>
      </c>
      <c r="H1242" s="12">
        <v>128.27000000000001</v>
      </c>
      <c r="I1242" s="22">
        <v>0</v>
      </c>
      <c r="J1242" s="12">
        <f t="shared" si="39"/>
        <v>384.81</v>
      </c>
      <c r="K1242" s="17" t="s">
        <v>48</v>
      </c>
    </row>
    <row r="1243" spans="1:11" x14ac:dyDescent="0.25">
      <c r="A1243" s="17" t="s">
        <v>1602</v>
      </c>
      <c r="B1243" s="19">
        <v>46198</v>
      </c>
      <c r="C1243" s="20">
        <f t="shared" si="38"/>
        <v>46174</v>
      </c>
      <c r="D1243" s="17" t="s">
        <v>429</v>
      </c>
      <c r="E1243" s="17" t="s">
        <v>17</v>
      </c>
      <c r="F1243" s="17" t="s">
        <v>31</v>
      </c>
      <c r="G1243" s="21">
        <v>2</v>
      </c>
      <c r="H1243" s="12">
        <v>218.11</v>
      </c>
      <c r="I1243" s="22">
        <v>0</v>
      </c>
      <c r="J1243" s="12">
        <f t="shared" si="39"/>
        <v>436.22</v>
      </c>
      <c r="K1243" s="17" t="s">
        <v>48</v>
      </c>
    </row>
    <row r="1244" spans="1:11" x14ac:dyDescent="0.25">
      <c r="A1244" s="17" t="s">
        <v>1603</v>
      </c>
      <c r="B1244" s="19">
        <v>46198</v>
      </c>
      <c r="C1244" s="20">
        <f t="shared" si="38"/>
        <v>46174</v>
      </c>
      <c r="D1244" s="17" t="s">
        <v>380</v>
      </c>
      <c r="E1244" s="17" t="s">
        <v>19</v>
      </c>
      <c r="F1244" s="17" t="s">
        <v>31</v>
      </c>
      <c r="G1244" s="21">
        <v>2</v>
      </c>
      <c r="H1244" s="12">
        <v>132.55000000000001</v>
      </c>
      <c r="I1244" s="22">
        <v>0.05</v>
      </c>
      <c r="J1244" s="12">
        <f t="shared" si="39"/>
        <v>251.85</v>
      </c>
      <c r="K1244" s="17" t="s">
        <v>48</v>
      </c>
    </row>
    <row r="1245" spans="1:11" x14ac:dyDescent="0.25">
      <c r="A1245" s="17" t="s">
        <v>1604</v>
      </c>
      <c r="B1245" s="19">
        <v>46198</v>
      </c>
      <c r="C1245" s="20">
        <f t="shared" si="38"/>
        <v>46174</v>
      </c>
      <c r="D1245" s="17" t="s">
        <v>144</v>
      </c>
      <c r="E1245" s="17" t="s">
        <v>18</v>
      </c>
      <c r="F1245" s="17" t="s">
        <v>31</v>
      </c>
      <c r="G1245" s="21">
        <v>3</v>
      </c>
      <c r="H1245" s="12">
        <v>150.49</v>
      </c>
      <c r="I1245" s="22">
        <v>0.1</v>
      </c>
      <c r="J1245" s="12">
        <f t="shared" si="39"/>
        <v>406.32</v>
      </c>
      <c r="K1245" s="17" t="s">
        <v>48</v>
      </c>
    </row>
    <row r="1246" spans="1:11" x14ac:dyDescent="0.25">
      <c r="A1246" s="17" t="s">
        <v>1605</v>
      </c>
      <c r="B1246" s="19">
        <v>46198</v>
      </c>
      <c r="C1246" s="20">
        <f t="shared" si="38"/>
        <v>46174</v>
      </c>
      <c r="D1246" s="17" t="s">
        <v>97</v>
      </c>
      <c r="E1246" s="17" t="s">
        <v>22</v>
      </c>
      <c r="F1246" s="17" t="s">
        <v>31</v>
      </c>
      <c r="G1246" s="21">
        <v>4</v>
      </c>
      <c r="H1246" s="12">
        <v>99.27</v>
      </c>
      <c r="I1246" s="22">
        <v>0.05</v>
      </c>
      <c r="J1246" s="12">
        <f t="shared" si="39"/>
        <v>377.23</v>
      </c>
      <c r="K1246" s="17" t="s">
        <v>48</v>
      </c>
    </row>
    <row r="1247" spans="1:11" x14ac:dyDescent="0.25">
      <c r="A1247" s="17" t="s">
        <v>1606</v>
      </c>
      <c r="B1247" s="19">
        <v>46199</v>
      </c>
      <c r="C1247" s="20">
        <f t="shared" si="38"/>
        <v>46174</v>
      </c>
      <c r="D1247" s="17" t="s">
        <v>229</v>
      </c>
      <c r="E1247" s="17" t="s">
        <v>24</v>
      </c>
      <c r="F1247" s="17" t="s">
        <v>30</v>
      </c>
      <c r="G1247" s="21">
        <v>2</v>
      </c>
      <c r="H1247" s="12">
        <v>34.770000000000003</v>
      </c>
      <c r="I1247" s="22">
        <v>0</v>
      </c>
      <c r="J1247" s="12">
        <f t="shared" si="39"/>
        <v>69.540000000000006</v>
      </c>
      <c r="K1247" s="17" t="s">
        <v>59</v>
      </c>
    </row>
    <row r="1248" spans="1:11" x14ac:dyDescent="0.25">
      <c r="A1248" s="17" t="s">
        <v>1607</v>
      </c>
      <c r="B1248" s="19">
        <v>46199</v>
      </c>
      <c r="C1248" s="20">
        <f t="shared" si="38"/>
        <v>46174</v>
      </c>
      <c r="D1248" s="17" t="s">
        <v>54</v>
      </c>
      <c r="E1248" s="17" t="s">
        <v>27</v>
      </c>
      <c r="F1248" s="17" t="s">
        <v>30</v>
      </c>
      <c r="G1248" s="21">
        <v>1</v>
      </c>
      <c r="H1248" s="12">
        <v>13.05</v>
      </c>
      <c r="I1248" s="22">
        <v>0.15</v>
      </c>
      <c r="J1248" s="12">
        <f t="shared" si="39"/>
        <v>11.09</v>
      </c>
      <c r="K1248" s="17" t="s">
        <v>43</v>
      </c>
    </row>
    <row r="1249" spans="1:11" x14ac:dyDescent="0.25">
      <c r="A1249" s="17" t="s">
        <v>1608</v>
      </c>
      <c r="B1249" s="19">
        <v>46199</v>
      </c>
      <c r="C1249" s="20">
        <f t="shared" si="38"/>
        <v>46174</v>
      </c>
      <c r="D1249" s="17" t="s">
        <v>67</v>
      </c>
      <c r="E1249" s="17" t="s">
        <v>25</v>
      </c>
      <c r="F1249" s="17" t="s">
        <v>31</v>
      </c>
      <c r="G1249" s="21">
        <v>2</v>
      </c>
      <c r="H1249" s="12">
        <v>29.6</v>
      </c>
      <c r="I1249" s="22">
        <v>0.05</v>
      </c>
      <c r="J1249" s="12">
        <f t="shared" si="39"/>
        <v>56.24</v>
      </c>
      <c r="K1249" s="17" t="s">
        <v>48</v>
      </c>
    </row>
    <row r="1250" spans="1:11" x14ac:dyDescent="0.25">
      <c r="A1250" s="17" t="s">
        <v>1609</v>
      </c>
      <c r="B1250" s="19">
        <v>46200</v>
      </c>
      <c r="C1250" s="20">
        <f t="shared" si="38"/>
        <v>46174</v>
      </c>
      <c r="D1250" s="17" t="s">
        <v>146</v>
      </c>
      <c r="E1250" s="17" t="s">
        <v>16</v>
      </c>
      <c r="F1250" s="17" t="s">
        <v>30</v>
      </c>
      <c r="G1250" s="21">
        <v>1</v>
      </c>
      <c r="H1250" s="12">
        <v>248.74</v>
      </c>
      <c r="I1250" s="22">
        <v>0.05</v>
      </c>
      <c r="J1250" s="12">
        <f t="shared" si="39"/>
        <v>236.3</v>
      </c>
      <c r="K1250" s="17" t="s">
        <v>59</v>
      </c>
    </row>
    <row r="1251" spans="1:11" x14ac:dyDescent="0.25">
      <c r="A1251" s="17" t="s">
        <v>1610</v>
      </c>
      <c r="B1251" s="19">
        <v>46200</v>
      </c>
      <c r="C1251" s="20">
        <f t="shared" si="38"/>
        <v>46174</v>
      </c>
      <c r="D1251" s="17" t="s">
        <v>247</v>
      </c>
      <c r="E1251" s="17" t="s">
        <v>18</v>
      </c>
      <c r="F1251" s="17" t="s">
        <v>30</v>
      </c>
      <c r="G1251" s="21">
        <v>2</v>
      </c>
      <c r="H1251" s="12">
        <v>148.66999999999999</v>
      </c>
      <c r="I1251" s="22">
        <v>0</v>
      </c>
      <c r="J1251" s="12">
        <f t="shared" si="39"/>
        <v>297.33999999999997</v>
      </c>
      <c r="K1251" s="17" t="s">
        <v>59</v>
      </c>
    </row>
    <row r="1252" spans="1:11" x14ac:dyDescent="0.25">
      <c r="A1252" s="17" t="s">
        <v>1611</v>
      </c>
      <c r="B1252" s="19">
        <v>46200</v>
      </c>
      <c r="C1252" s="20">
        <f t="shared" si="38"/>
        <v>46174</v>
      </c>
      <c r="D1252" s="17" t="s">
        <v>265</v>
      </c>
      <c r="E1252" s="17" t="s">
        <v>27</v>
      </c>
      <c r="F1252" s="17" t="s">
        <v>30</v>
      </c>
      <c r="G1252" s="21">
        <v>1</v>
      </c>
      <c r="H1252" s="12">
        <v>12.63</v>
      </c>
      <c r="I1252" s="22">
        <v>0.15</v>
      </c>
      <c r="J1252" s="12">
        <f t="shared" si="39"/>
        <v>10.74</v>
      </c>
      <c r="K1252" s="17" t="s">
        <v>43</v>
      </c>
    </row>
    <row r="1253" spans="1:11" x14ac:dyDescent="0.25">
      <c r="A1253" s="17" t="s">
        <v>1612</v>
      </c>
      <c r="B1253" s="19">
        <v>46200</v>
      </c>
      <c r="C1253" s="20">
        <f t="shared" si="38"/>
        <v>46174</v>
      </c>
      <c r="D1253" s="17" t="s">
        <v>78</v>
      </c>
      <c r="E1253" s="17" t="s">
        <v>23</v>
      </c>
      <c r="F1253" s="17" t="s">
        <v>30</v>
      </c>
      <c r="G1253" s="21">
        <v>2</v>
      </c>
      <c r="H1253" s="12">
        <v>60.55</v>
      </c>
      <c r="I1253" s="22">
        <v>0</v>
      </c>
      <c r="J1253" s="12">
        <f t="shared" si="39"/>
        <v>121.1</v>
      </c>
      <c r="K1253" s="17" t="s">
        <v>43</v>
      </c>
    </row>
    <row r="1254" spans="1:11" x14ac:dyDescent="0.25">
      <c r="A1254" s="17" t="s">
        <v>1613</v>
      </c>
      <c r="B1254" s="19">
        <v>46200</v>
      </c>
      <c r="C1254" s="20">
        <f t="shared" si="38"/>
        <v>46174</v>
      </c>
      <c r="D1254" s="17" t="s">
        <v>807</v>
      </c>
      <c r="E1254" s="17" t="s">
        <v>25</v>
      </c>
      <c r="F1254" s="17" t="s">
        <v>30</v>
      </c>
      <c r="G1254" s="21">
        <v>4</v>
      </c>
      <c r="H1254" s="12">
        <v>29.2</v>
      </c>
      <c r="I1254" s="22">
        <v>0</v>
      </c>
      <c r="J1254" s="12">
        <f t="shared" si="39"/>
        <v>116.8</v>
      </c>
      <c r="K1254" s="17" t="s">
        <v>43</v>
      </c>
    </row>
    <row r="1255" spans="1:11" x14ac:dyDescent="0.25">
      <c r="A1255" s="17" t="s">
        <v>1614</v>
      </c>
      <c r="B1255" s="19">
        <v>46200</v>
      </c>
      <c r="C1255" s="20">
        <f t="shared" si="38"/>
        <v>46174</v>
      </c>
      <c r="D1255" s="17" t="s">
        <v>594</v>
      </c>
      <c r="E1255" s="17" t="s">
        <v>24</v>
      </c>
      <c r="F1255" s="17" t="s">
        <v>31</v>
      </c>
      <c r="G1255" s="21">
        <v>3</v>
      </c>
      <c r="H1255" s="12">
        <v>34.659999999999997</v>
      </c>
      <c r="I1255" s="22">
        <v>0</v>
      </c>
      <c r="J1255" s="12">
        <f t="shared" si="39"/>
        <v>103.98</v>
      </c>
      <c r="K1255" s="17" t="s">
        <v>48</v>
      </c>
    </row>
    <row r="1256" spans="1:11" x14ac:dyDescent="0.25">
      <c r="A1256" s="17" t="s">
        <v>1615</v>
      </c>
      <c r="B1256" s="19">
        <v>46200</v>
      </c>
      <c r="C1256" s="20">
        <f t="shared" si="38"/>
        <v>46174</v>
      </c>
      <c r="D1256" s="17" t="s">
        <v>235</v>
      </c>
      <c r="E1256" s="17" t="s">
        <v>26</v>
      </c>
      <c r="F1256" s="17" t="s">
        <v>31</v>
      </c>
      <c r="G1256" s="21">
        <v>1</v>
      </c>
      <c r="H1256" s="12">
        <v>24.83</v>
      </c>
      <c r="I1256" s="22">
        <v>0.1</v>
      </c>
      <c r="J1256" s="12">
        <f t="shared" si="39"/>
        <v>22.35</v>
      </c>
      <c r="K1256" s="17" t="s">
        <v>48</v>
      </c>
    </row>
    <row r="1257" spans="1:11" x14ac:dyDescent="0.25">
      <c r="A1257" s="17" t="s">
        <v>1616</v>
      </c>
      <c r="B1257" s="19">
        <v>46201</v>
      </c>
      <c r="C1257" s="20">
        <f t="shared" si="38"/>
        <v>46174</v>
      </c>
      <c r="D1257" s="17" t="s">
        <v>172</v>
      </c>
      <c r="E1257" s="17" t="s">
        <v>22</v>
      </c>
      <c r="F1257" s="17" t="s">
        <v>30</v>
      </c>
      <c r="G1257" s="21">
        <v>1</v>
      </c>
      <c r="H1257" s="12">
        <v>96.11</v>
      </c>
      <c r="I1257" s="22">
        <v>0.05</v>
      </c>
      <c r="J1257" s="12">
        <f t="shared" si="39"/>
        <v>91.3</v>
      </c>
      <c r="K1257" s="17" t="s">
        <v>59</v>
      </c>
    </row>
    <row r="1258" spans="1:11" x14ac:dyDescent="0.25">
      <c r="A1258" s="17" t="s">
        <v>1617</v>
      </c>
      <c r="B1258" s="19">
        <v>46201</v>
      </c>
      <c r="C1258" s="20">
        <f t="shared" si="38"/>
        <v>46174</v>
      </c>
      <c r="D1258" s="17" t="s">
        <v>635</v>
      </c>
      <c r="E1258" s="17" t="s">
        <v>20</v>
      </c>
      <c r="F1258" s="17" t="s">
        <v>30</v>
      </c>
      <c r="G1258" s="21">
        <v>1</v>
      </c>
      <c r="H1258" s="12">
        <v>91.04</v>
      </c>
      <c r="I1258" s="22">
        <v>0.05</v>
      </c>
      <c r="J1258" s="12">
        <f t="shared" si="39"/>
        <v>86.49</v>
      </c>
      <c r="K1258" s="17" t="s">
        <v>43</v>
      </c>
    </row>
    <row r="1259" spans="1:11" x14ac:dyDescent="0.25">
      <c r="A1259" s="17" t="s">
        <v>1618</v>
      </c>
      <c r="B1259" s="19">
        <v>46201</v>
      </c>
      <c r="C1259" s="20">
        <f t="shared" si="38"/>
        <v>46174</v>
      </c>
      <c r="D1259" s="17" t="s">
        <v>510</v>
      </c>
      <c r="E1259" s="17" t="s">
        <v>18</v>
      </c>
      <c r="F1259" s="17" t="s">
        <v>30</v>
      </c>
      <c r="G1259" s="21">
        <v>5</v>
      </c>
      <c r="H1259" s="12">
        <v>145.91999999999999</v>
      </c>
      <c r="I1259" s="22">
        <v>0</v>
      </c>
      <c r="J1259" s="12">
        <f t="shared" si="39"/>
        <v>729.6</v>
      </c>
      <c r="K1259" s="17" t="s">
        <v>43</v>
      </c>
    </row>
    <row r="1260" spans="1:11" x14ac:dyDescent="0.25">
      <c r="A1260" s="17" t="s">
        <v>1619</v>
      </c>
      <c r="B1260" s="19">
        <v>46201</v>
      </c>
      <c r="C1260" s="20">
        <f t="shared" si="38"/>
        <v>46174</v>
      </c>
      <c r="D1260" s="17" t="s">
        <v>1578</v>
      </c>
      <c r="E1260" s="17" t="s">
        <v>27</v>
      </c>
      <c r="F1260" s="17" t="s">
        <v>30</v>
      </c>
      <c r="G1260" s="21">
        <v>1</v>
      </c>
      <c r="H1260" s="12">
        <v>12.99</v>
      </c>
      <c r="I1260" s="22">
        <v>0</v>
      </c>
      <c r="J1260" s="12">
        <f t="shared" si="39"/>
        <v>12.99</v>
      </c>
      <c r="K1260" s="17" t="s">
        <v>43</v>
      </c>
    </row>
    <row r="1261" spans="1:11" x14ac:dyDescent="0.25">
      <c r="A1261" s="17" t="s">
        <v>1620</v>
      </c>
      <c r="B1261" s="19">
        <v>46201</v>
      </c>
      <c r="C1261" s="20">
        <f t="shared" si="38"/>
        <v>46174</v>
      </c>
      <c r="D1261" s="17" t="s">
        <v>460</v>
      </c>
      <c r="E1261" s="17" t="s">
        <v>18</v>
      </c>
      <c r="F1261" s="17" t="s">
        <v>31</v>
      </c>
      <c r="G1261" s="21">
        <v>4</v>
      </c>
      <c r="H1261" s="12">
        <v>145.52000000000001</v>
      </c>
      <c r="I1261" s="22">
        <v>0.15</v>
      </c>
      <c r="J1261" s="12">
        <f t="shared" si="39"/>
        <v>494.77</v>
      </c>
      <c r="K1261" s="17" t="s">
        <v>48</v>
      </c>
    </row>
    <row r="1262" spans="1:11" x14ac:dyDescent="0.25">
      <c r="A1262" s="17" t="s">
        <v>1621</v>
      </c>
      <c r="B1262" s="19">
        <v>46201</v>
      </c>
      <c r="C1262" s="20">
        <f t="shared" si="38"/>
        <v>46174</v>
      </c>
      <c r="D1262" s="17" t="s">
        <v>1094</v>
      </c>
      <c r="E1262" s="17" t="s">
        <v>27</v>
      </c>
      <c r="F1262" s="17" t="s">
        <v>31</v>
      </c>
      <c r="G1262" s="21">
        <v>1</v>
      </c>
      <c r="H1262" s="12">
        <v>12.69</v>
      </c>
      <c r="I1262" s="22">
        <v>0</v>
      </c>
      <c r="J1262" s="12">
        <f t="shared" si="39"/>
        <v>12.69</v>
      </c>
      <c r="K1262" s="17" t="s">
        <v>48</v>
      </c>
    </row>
    <row r="1263" spans="1:11" x14ac:dyDescent="0.25">
      <c r="A1263" s="17" t="s">
        <v>1622</v>
      </c>
      <c r="B1263" s="19">
        <v>46201</v>
      </c>
      <c r="C1263" s="20">
        <f t="shared" si="38"/>
        <v>46174</v>
      </c>
      <c r="D1263" s="17" t="s">
        <v>920</v>
      </c>
      <c r="E1263" s="17" t="s">
        <v>16</v>
      </c>
      <c r="F1263" s="17" t="s">
        <v>31</v>
      </c>
      <c r="G1263" s="21">
        <v>2</v>
      </c>
      <c r="H1263" s="12">
        <v>253.16</v>
      </c>
      <c r="I1263" s="22">
        <v>0</v>
      </c>
      <c r="J1263" s="12">
        <f t="shared" si="39"/>
        <v>506.32</v>
      </c>
      <c r="K1263" s="17" t="s">
        <v>48</v>
      </c>
    </row>
    <row r="1264" spans="1:11" x14ac:dyDescent="0.25">
      <c r="A1264" s="17" t="s">
        <v>1623</v>
      </c>
      <c r="B1264" s="19">
        <v>46201</v>
      </c>
      <c r="C1264" s="20">
        <f t="shared" si="38"/>
        <v>46174</v>
      </c>
      <c r="D1264" s="17" t="s">
        <v>1254</v>
      </c>
      <c r="E1264" s="17" t="s">
        <v>25</v>
      </c>
      <c r="F1264" s="17" t="s">
        <v>31</v>
      </c>
      <c r="G1264" s="21">
        <v>2</v>
      </c>
      <c r="H1264" s="12">
        <v>30.44</v>
      </c>
      <c r="I1264" s="22">
        <v>0.15</v>
      </c>
      <c r="J1264" s="12">
        <f t="shared" si="39"/>
        <v>51.75</v>
      </c>
      <c r="K1264" s="17" t="s">
        <v>48</v>
      </c>
    </row>
    <row r="1265" spans="1:11" x14ac:dyDescent="0.25">
      <c r="A1265" s="17" t="s">
        <v>1624</v>
      </c>
      <c r="B1265" s="19">
        <v>46201</v>
      </c>
      <c r="C1265" s="20">
        <f t="shared" si="38"/>
        <v>46174</v>
      </c>
      <c r="D1265" s="17" t="s">
        <v>78</v>
      </c>
      <c r="E1265" s="17" t="s">
        <v>25</v>
      </c>
      <c r="F1265" s="17" t="s">
        <v>31</v>
      </c>
      <c r="G1265" s="21">
        <v>1</v>
      </c>
      <c r="H1265" s="12">
        <v>29.13</v>
      </c>
      <c r="I1265" s="22">
        <v>0.1</v>
      </c>
      <c r="J1265" s="12">
        <f t="shared" si="39"/>
        <v>26.22</v>
      </c>
      <c r="K1265" s="17" t="s">
        <v>48</v>
      </c>
    </row>
    <row r="1266" spans="1:11" x14ac:dyDescent="0.25">
      <c r="A1266" s="17" t="s">
        <v>1625</v>
      </c>
      <c r="B1266" s="19">
        <v>46201</v>
      </c>
      <c r="C1266" s="20">
        <f t="shared" si="38"/>
        <v>46174</v>
      </c>
      <c r="D1266" s="17" t="s">
        <v>231</v>
      </c>
      <c r="E1266" s="17" t="s">
        <v>26</v>
      </c>
      <c r="F1266" s="17" t="s">
        <v>31</v>
      </c>
      <c r="G1266" s="21">
        <v>2</v>
      </c>
      <c r="H1266" s="12">
        <v>24.2</v>
      </c>
      <c r="I1266" s="22">
        <v>0</v>
      </c>
      <c r="J1266" s="12">
        <f t="shared" si="39"/>
        <v>48.4</v>
      </c>
      <c r="K1266" s="17" t="s">
        <v>48</v>
      </c>
    </row>
    <row r="1267" spans="1:11" x14ac:dyDescent="0.25">
      <c r="A1267" s="17" t="s">
        <v>1626</v>
      </c>
      <c r="B1267" s="19">
        <v>46202</v>
      </c>
      <c r="C1267" s="20">
        <f t="shared" si="38"/>
        <v>46174</v>
      </c>
      <c r="D1267" s="17" t="s">
        <v>506</v>
      </c>
      <c r="E1267" s="17" t="s">
        <v>18</v>
      </c>
      <c r="F1267" s="17" t="s">
        <v>30</v>
      </c>
      <c r="G1267" s="21">
        <v>3</v>
      </c>
      <c r="H1267" s="12">
        <v>148.97999999999999</v>
      </c>
      <c r="I1267" s="22">
        <v>0</v>
      </c>
      <c r="J1267" s="12">
        <f t="shared" si="39"/>
        <v>446.94</v>
      </c>
      <c r="K1267" s="17" t="s">
        <v>43</v>
      </c>
    </row>
    <row r="1268" spans="1:11" x14ac:dyDescent="0.25">
      <c r="A1268" s="17" t="s">
        <v>1627</v>
      </c>
      <c r="B1268" s="19">
        <v>46202</v>
      </c>
      <c r="C1268" s="20">
        <f t="shared" si="38"/>
        <v>46174</v>
      </c>
      <c r="D1268" s="17" t="s">
        <v>333</v>
      </c>
      <c r="E1268" s="17" t="s">
        <v>22</v>
      </c>
      <c r="F1268" s="17" t="s">
        <v>30</v>
      </c>
      <c r="G1268" s="21">
        <v>5</v>
      </c>
      <c r="H1268" s="12">
        <v>98.23</v>
      </c>
      <c r="I1268" s="22">
        <v>0</v>
      </c>
      <c r="J1268" s="12">
        <f t="shared" si="39"/>
        <v>491.15</v>
      </c>
      <c r="K1268" s="17" t="s">
        <v>43</v>
      </c>
    </row>
    <row r="1269" spans="1:11" x14ac:dyDescent="0.25">
      <c r="A1269" s="17" t="s">
        <v>1628</v>
      </c>
      <c r="B1269" s="19">
        <v>46202</v>
      </c>
      <c r="C1269" s="20">
        <f t="shared" si="38"/>
        <v>46174</v>
      </c>
      <c r="D1269" s="17" t="s">
        <v>159</v>
      </c>
      <c r="E1269" s="17" t="s">
        <v>20</v>
      </c>
      <c r="F1269" s="17" t="s">
        <v>30</v>
      </c>
      <c r="G1269" s="21">
        <v>1</v>
      </c>
      <c r="H1269" s="12">
        <v>87.84</v>
      </c>
      <c r="I1269" s="22">
        <v>0.05</v>
      </c>
      <c r="J1269" s="12">
        <f t="shared" si="39"/>
        <v>83.45</v>
      </c>
      <c r="K1269" s="17" t="s">
        <v>43</v>
      </c>
    </row>
    <row r="1270" spans="1:11" x14ac:dyDescent="0.25">
      <c r="A1270" s="17" t="s">
        <v>1629</v>
      </c>
      <c r="B1270" s="19">
        <v>46202</v>
      </c>
      <c r="C1270" s="20">
        <f t="shared" si="38"/>
        <v>46174</v>
      </c>
      <c r="D1270" s="17" t="s">
        <v>728</v>
      </c>
      <c r="E1270" s="17" t="s">
        <v>23</v>
      </c>
      <c r="F1270" s="17" t="s">
        <v>30</v>
      </c>
      <c r="G1270" s="21">
        <v>5</v>
      </c>
      <c r="H1270" s="12">
        <v>60.11</v>
      </c>
      <c r="I1270" s="22">
        <v>0</v>
      </c>
      <c r="J1270" s="12">
        <f t="shared" si="39"/>
        <v>300.55</v>
      </c>
      <c r="K1270" s="17" t="s">
        <v>43</v>
      </c>
    </row>
    <row r="1271" spans="1:11" x14ac:dyDescent="0.25">
      <c r="A1271" s="17" t="s">
        <v>1630</v>
      </c>
      <c r="B1271" s="19">
        <v>46202</v>
      </c>
      <c r="C1271" s="20">
        <f t="shared" si="38"/>
        <v>46174</v>
      </c>
      <c r="D1271" s="17" t="s">
        <v>1075</v>
      </c>
      <c r="E1271" s="17" t="s">
        <v>20</v>
      </c>
      <c r="F1271" s="17" t="s">
        <v>31</v>
      </c>
      <c r="G1271" s="21">
        <v>3</v>
      </c>
      <c r="H1271" s="12">
        <v>87.88</v>
      </c>
      <c r="I1271" s="22">
        <v>0.1</v>
      </c>
      <c r="J1271" s="12">
        <f t="shared" si="39"/>
        <v>237.28</v>
      </c>
      <c r="K1271" s="17" t="s">
        <v>48</v>
      </c>
    </row>
    <row r="1272" spans="1:11" x14ac:dyDescent="0.25">
      <c r="A1272" s="17" t="s">
        <v>1631</v>
      </c>
      <c r="B1272" s="19">
        <v>46202</v>
      </c>
      <c r="C1272" s="20">
        <f t="shared" si="38"/>
        <v>46174</v>
      </c>
      <c r="D1272" s="17" t="s">
        <v>1075</v>
      </c>
      <c r="E1272" s="17" t="s">
        <v>19</v>
      </c>
      <c r="F1272" s="17" t="s">
        <v>31</v>
      </c>
      <c r="G1272" s="21">
        <v>4</v>
      </c>
      <c r="H1272" s="12">
        <v>126.61</v>
      </c>
      <c r="I1272" s="22">
        <v>0</v>
      </c>
      <c r="J1272" s="12">
        <f t="shared" si="39"/>
        <v>506.44</v>
      </c>
      <c r="K1272" s="17" t="s">
        <v>48</v>
      </c>
    </row>
    <row r="1273" spans="1:11" x14ac:dyDescent="0.25">
      <c r="A1273" s="17" t="s">
        <v>1632</v>
      </c>
      <c r="B1273" s="19">
        <v>46202</v>
      </c>
      <c r="C1273" s="20">
        <f t="shared" si="38"/>
        <v>46174</v>
      </c>
      <c r="D1273" s="17" t="s">
        <v>372</v>
      </c>
      <c r="E1273" s="17" t="s">
        <v>17</v>
      </c>
      <c r="F1273" s="17" t="s">
        <v>31</v>
      </c>
      <c r="G1273" s="21">
        <v>1</v>
      </c>
      <c r="H1273" s="12">
        <v>219.47</v>
      </c>
      <c r="I1273" s="22">
        <v>0.05</v>
      </c>
      <c r="J1273" s="12">
        <f t="shared" si="39"/>
        <v>208.5</v>
      </c>
      <c r="K1273" s="17" t="s">
        <v>48</v>
      </c>
    </row>
  </sheetData>
  <autoFilter ref="A1:K127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showGridLines="0" workbookViewId="0"/>
  </sheetViews>
  <sheetFormatPr defaultRowHeight="15" x14ac:dyDescent="0.25"/>
  <cols>
    <col min="1" max="1" width="46" customWidth="1"/>
    <col min="2" max="2" width="22" customWidth="1"/>
    <col min="3" max="3" width="62" customWidth="1"/>
  </cols>
  <sheetData>
    <row r="1" spans="1:3" ht="20.25" x14ac:dyDescent="0.3">
      <c r="A1" s="1" t="s">
        <v>1633</v>
      </c>
    </row>
    <row r="2" spans="1:3" x14ac:dyDescent="0.25">
      <c r="A2" s="2" t="s">
        <v>1634</v>
      </c>
    </row>
    <row r="4" spans="1:3" x14ac:dyDescent="0.25">
      <c r="A4" s="7" t="s">
        <v>1635</v>
      </c>
    </row>
    <row r="5" spans="1:3" x14ac:dyDescent="0.25">
      <c r="A5" s="17" t="s">
        <v>1636</v>
      </c>
      <c r="B5" s="11">
        <v>1337</v>
      </c>
    </row>
    <row r="6" spans="1:3" x14ac:dyDescent="0.25">
      <c r="A6" s="17" t="s">
        <v>1637</v>
      </c>
      <c r="B6" s="11">
        <v>37</v>
      </c>
    </row>
    <row r="7" spans="1:3" x14ac:dyDescent="0.25">
      <c r="A7" s="17" t="s">
        <v>1638</v>
      </c>
      <c r="B7" s="11">
        <v>28</v>
      </c>
    </row>
    <row r="8" spans="1:3" x14ac:dyDescent="0.25">
      <c r="A8" s="17" t="s">
        <v>1639</v>
      </c>
      <c r="B8" s="11">
        <f>COUNTA('Clean Data'!$A$2:$A$1273)</f>
        <v>1272</v>
      </c>
    </row>
    <row r="9" spans="1:3" x14ac:dyDescent="0.25">
      <c r="A9" s="23" t="s">
        <v>1640</v>
      </c>
      <c r="B9" s="24">
        <f>B5-B6-B7-B8</f>
        <v>0</v>
      </c>
      <c r="C9" s="25" t="str">
        <f>IF(B9=0,"OK - every row accounted for","CHECK")</f>
        <v>OK - every row accounted for</v>
      </c>
    </row>
    <row r="11" spans="1:3" x14ac:dyDescent="0.25">
      <c r="A11" s="7" t="s">
        <v>1641</v>
      </c>
    </row>
    <row r="12" spans="1:3" x14ac:dyDescent="0.25">
      <c r="A12" s="8" t="s">
        <v>1642</v>
      </c>
      <c r="B12" s="8" t="s">
        <v>1643</v>
      </c>
      <c r="C12" s="8" t="s">
        <v>1644</v>
      </c>
    </row>
    <row r="13" spans="1:3" x14ac:dyDescent="0.25">
      <c r="A13" s="17" t="s">
        <v>1645</v>
      </c>
      <c r="B13" s="26">
        <v>19</v>
      </c>
      <c r="C13" s="17" t="s">
        <v>1646</v>
      </c>
    </row>
    <row r="14" spans="1:3" x14ac:dyDescent="0.25">
      <c r="A14" s="17" t="s">
        <v>1647</v>
      </c>
      <c r="B14" s="26">
        <v>649</v>
      </c>
      <c r="C14" s="17" t="s">
        <v>1648</v>
      </c>
    </row>
    <row r="15" spans="1:3" x14ac:dyDescent="0.25">
      <c r="A15" s="17" t="s">
        <v>1649</v>
      </c>
      <c r="B15" s="26">
        <v>373</v>
      </c>
      <c r="C15" s="17" t="s">
        <v>1650</v>
      </c>
    </row>
    <row r="16" spans="1:3" x14ac:dyDescent="0.25">
      <c r="A16" s="17" t="s">
        <v>1651</v>
      </c>
      <c r="B16" s="26">
        <v>1087</v>
      </c>
      <c r="C16" s="17" t="s">
        <v>1652</v>
      </c>
    </row>
    <row r="17" spans="1:3" x14ac:dyDescent="0.25">
      <c r="A17" s="17" t="s">
        <v>1653</v>
      </c>
      <c r="B17" s="26">
        <v>528</v>
      </c>
      <c r="C17" s="17" t="s">
        <v>1654</v>
      </c>
    </row>
    <row r="18" spans="1:3" x14ac:dyDescent="0.25">
      <c r="A18" s="17" t="s">
        <v>1655</v>
      </c>
      <c r="B18" s="26">
        <v>425</v>
      </c>
      <c r="C18" s="17" t="s">
        <v>1656</v>
      </c>
    </row>
    <row r="19" spans="1:3" x14ac:dyDescent="0.25">
      <c r="A19" s="17" t="s">
        <v>1657</v>
      </c>
      <c r="B19" s="26">
        <v>604</v>
      </c>
      <c r="C19" s="17" t="s">
        <v>1658</v>
      </c>
    </row>
    <row r="20" spans="1:3" x14ac:dyDescent="0.25">
      <c r="A20" s="17" t="s">
        <v>1659</v>
      </c>
      <c r="B20" s="26">
        <v>12</v>
      </c>
      <c r="C20" s="17" t="s">
        <v>1660</v>
      </c>
    </row>
    <row r="21" spans="1:3" x14ac:dyDescent="0.25">
      <c r="A21" s="17" t="s">
        <v>1661</v>
      </c>
      <c r="B21" s="26">
        <v>45</v>
      </c>
      <c r="C21" s="17" t="s">
        <v>1662</v>
      </c>
    </row>
    <row r="22" spans="1:3" x14ac:dyDescent="0.25">
      <c r="A22" s="17" t="s">
        <v>1637</v>
      </c>
      <c r="B22" s="26">
        <v>37</v>
      </c>
      <c r="C22" s="17" t="s">
        <v>1663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3" customWidth="1"/>
    <col min="3" max="3" width="17" customWidth="1"/>
    <col min="4" max="4" width="30" customWidth="1"/>
    <col min="5" max="5" width="15" customWidth="1"/>
    <col min="6" max="6" width="16" customWidth="1"/>
    <col min="7" max="7" width="32" customWidth="1"/>
  </cols>
  <sheetData>
    <row r="1" spans="1:7" x14ac:dyDescent="0.25">
      <c r="A1" s="8" t="s">
        <v>1664</v>
      </c>
      <c r="B1" s="8" t="s">
        <v>33</v>
      </c>
      <c r="C1" s="8" t="s">
        <v>1665</v>
      </c>
      <c r="D1" s="8" t="s">
        <v>1666</v>
      </c>
      <c r="E1" s="8" t="s">
        <v>1667</v>
      </c>
      <c r="F1" s="8" t="s">
        <v>1668</v>
      </c>
      <c r="G1" s="8" t="s">
        <v>1669</v>
      </c>
    </row>
    <row r="2" spans="1:7" x14ac:dyDescent="0.25">
      <c r="A2" s="17" t="s">
        <v>59</v>
      </c>
      <c r="B2" s="17" t="s">
        <v>1670</v>
      </c>
      <c r="C2" s="17" t="s">
        <v>1671</v>
      </c>
      <c r="D2" s="17" t="s">
        <v>1672</v>
      </c>
      <c r="E2" s="17" t="s">
        <v>1673</v>
      </c>
      <c r="F2" s="17"/>
      <c r="G2" s="17" t="s">
        <v>1674</v>
      </c>
    </row>
    <row r="3" spans="1:7" x14ac:dyDescent="0.25">
      <c r="A3" s="17" t="s">
        <v>59</v>
      </c>
      <c r="B3" s="17" t="s">
        <v>1675</v>
      </c>
      <c r="C3" s="17" t="s">
        <v>1676</v>
      </c>
      <c r="D3" s="17" t="s">
        <v>20</v>
      </c>
      <c r="E3" s="17" t="s">
        <v>1677</v>
      </c>
      <c r="F3" s="17" t="s">
        <v>1678</v>
      </c>
      <c r="G3" s="17" t="s">
        <v>1679</v>
      </c>
    </row>
    <row r="4" spans="1:7" x14ac:dyDescent="0.25">
      <c r="A4" s="17" t="s">
        <v>59</v>
      </c>
      <c r="B4" s="17" t="s">
        <v>1680</v>
      </c>
      <c r="C4" s="17" t="s">
        <v>1681</v>
      </c>
      <c r="D4" s="17" t="s">
        <v>1682</v>
      </c>
      <c r="E4" s="17" t="s">
        <v>1683</v>
      </c>
      <c r="F4" s="17" t="s">
        <v>1684</v>
      </c>
      <c r="G4" s="17" t="s">
        <v>1679</v>
      </c>
    </row>
    <row r="5" spans="1:7" x14ac:dyDescent="0.25">
      <c r="A5" s="17" t="s">
        <v>59</v>
      </c>
      <c r="B5" s="17" t="s">
        <v>1685</v>
      </c>
      <c r="C5" s="17" t="s">
        <v>1686</v>
      </c>
      <c r="D5" s="17" t="s">
        <v>1687</v>
      </c>
      <c r="E5" s="17" t="s">
        <v>1688</v>
      </c>
      <c r="F5" s="17"/>
      <c r="G5" s="17" t="s">
        <v>1674</v>
      </c>
    </row>
    <row r="6" spans="1:7" x14ac:dyDescent="0.25">
      <c r="A6" s="17" t="s">
        <v>59</v>
      </c>
      <c r="B6" s="17" t="s">
        <v>1689</v>
      </c>
      <c r="C6" s="17" t="s">
        <v>1690</v>
      </c>
      <c r="D6" s="17" t="s">
        <v>1691</v>
      </c>
      <c r="E6" s="17" t="s">
        <v>1677</v>
      </c>
      <c r="F6" s="17" t="s">
        <v>1692</v>
      </c>
      <c r="G6" s="17" t="s">
        <v>1679</v>
      </c>
    </row>
    <row r="7" spans="1:7" x14ac:dyDescent="0.25">
      <c r="A7" s="17" t="s">
        <v>59</v>
      </c>
      <c r="B7" s="17" t="s">
        <v>1693</v>
      </c>
      <c r="C7" s="17" t="s">
        <v>1694</v>
      </c>
      <c r="D7" s="17" t="s">
        <v>1695</v>
      </c>
      <c r="E7" s="17" t="s">
        <v>1677</v>
      </c>
      <c r="F7" s="17" t="s">
        <v>1696</v>
      </c>
      <c r="G7" s="17" t="s">
        <v>1679</v>
      </c>
    </row>
    <row r="8" spans="1:7" x14ac:dyDescent="0.25">
      <c r="A8" s="17" t="s">
        <v>59</v>
      </c>
      <c r="B8" s="17" t="s">
        <v>1697</v>
      </c>
      <c r="C8" s="17" t="s">
        <v>1698</v>
      </c>
      <c r="D8" s="17" t="s">
        <v>16</v>
      </c>
      <c r="E8" s="17" t="s">
        <v>1677</v>
      </c>
      <c r="F8" s="17" t="s">
        <v>1699</v>
      </c>
      <c r="G8" s="17" t="s">
        <v>1679</v>
      </c>
    </row>
    <row r="9" spans="1:7" x14ac:dyDescent="0.25">
      <c r="A9" s="17" t="s">
        <v>48</v>
      </c>
      <c r="B9" s="17" t="s">
        <v>1700</v>
      </c>
      <c r="C9" s="17" t="s">
        <v>1701</v>
      </c>
      <c r="D9" s="17" t="s">
        <v>1702</v>
      </c>
      <c r="E9" s="17" t="s">
        <v>1677</v>
      </c>
      <c r="F9" s="17" t="s">
        <v>1703</v>
      </c>
      <c r="G9" s="17" t="s">
        <v>1679</v>
      </c>
    </row>
    <row r="10" spans="1:7" x14ac:dyDescent="0.25">
      <c r="A10" s="17" t="s">
        <v>48</v>
      </c>
      <c r="B10" s="17" t="s">
        <v>1704</v>
      </c>
      <c r="C10" s="17" t="s">
        <v>1705</v>
      </c>
      <c r="D10" s="17" t="s">
        <v>26</v>
      </c>
      <c r="E10" s="17" t="s">
        <v>1706</v>
      </c>
      <c r="F10" s="17"/>
      <c r="G10" s="17" t="s">
        <v>1674</v>
      </c>
    </row>
    <row r="11" spans="1:7" x14ac:dyDescent="0.25">
      <c r="A11" s="17" t="s">
        <v>48</v>
      </c>
      <c r="B11" s="17" t="s">
        <v>1707</v>
      </c>
      <c r="C11" s="17" t="s">
        <v>1708</v>
      </c>
      <c r="D11" s="17" t="s">
        <v>20</v>
      </c>
      <c r="E11" s="17" t="s">
        <v>1677</v>
      </c>
      <c r="F11" s="17" t="s">
        <v>1709</v>
      </c>
      <c r="G11" s="17" t="s">
        <v>1679</v>
      </c>
    </row>
    <row r="12" spans="1:7" x14ac:dyDescent="0.25">
      <c r="A12" s="17" t="s">
        <v>48</v>
      </c>
      <c r="B12" s="17" t="s">
        <v>1710</v>
      </c>
      <c r="C12" s="17" t="s">
        <v>1711</v>
      </c>
      <c r="D12" s="17" t="s">
        <v>1712</v>
      </c>
      <c r="E12" s="17" t="s">
        <v>1683</v>
      </c>
      <c r="F12" s="17" t="s">
        <v>1713</v>
      </c>
      <c r="G12" s="17" t="s">
        <v>1679</v>
      </c>
    </row>
    <row r="13" spans="1:7" x14ac:dyDescent="0.25">
      <c r="A13" s="17" t="s">
        <v>48</v>
      </c>
      <c r="B13" s="17" t="s">
        <v>1714</v>
      </c>
      <c r="C13" s="17" t="s">
        <v>1715</v>
      </c>
      <c r="D13" s="17" t="s">
        <v>1716</v>
      </c>
      <c r="E13" s="17" t="s">
        <v>1717</v>
      </c>
      <c r="F13" s="17"/>
      <c r="G13" s="17" t="s">
        <v>1674</v>
      </c>
    </row>
    <row r="14" spans="1:7" x14ac:dyDescent="0.25">
      <c r="A14" s="17" t="s">
        <v>48</v>
      </c>
      <c r="B14" s="17" t="s">
        <v>1718</v>
      </c>
      <c r="C14" s="17" t="s">
        <v>1719</v>
      </c>
      <c r="D14" s="17" t="s">
        <v>1702</v>
      </c>
      <c r="E14" s="17" t="s">
        <v>1677</v>
      </c>
      <c r="F14" s="17" t="s">
        <v>1720</v>
      </c>
      <c r="G14" s="17" t="s">
        <v>1679</v>
      </c>
    </row>
    <row r="15" spans="1:7" x14ac:dyDescent="0.25">
      <c r="A15" s="17" t="s">
        <v>48</v>
      </c>
      <c r="B15" s="17" t="s">
        <v>1721</v>
      </c>
      <c r="C15" s="17" t="s">
        <v>1719</v>
      </c>
      <c r="D15" s="17" t="s">
        <v>24</v>
      </c>
      <c r="E15" s="17" t="s">
        <v>1717</v>
      </c>
      <c r="F15" s="17"/>
      <c r="G15" s="17" t="s">
        <v>1674</v>
      </c>
    </row>
    <row r="16" spans="1:7" x14ac:dyDescent="0.25">
      <c r="A16" s="17" t="s">
        <v>48</v>
      </c>
      <c r="B16" s="17" t="s">
        <v>1722</v>
      </c>
      <c r="C16" s="17" t="s">
        <v>1723</v>
      </c>
      <c r="D16" s="17" t="s">
        <v>21</v>
      </c>
      <c r="E16" s="17" t="s">
        <v>1683</v>
      </c>
      <c r="F16" s="17" t="s">
        <v>1724</v>
      </c>
      <c r="G16" s="17" t="s">
        <v>1679</v>
      </c>
    </row>
    <row r="17" spans="1:7" x14ac:dyDescent="0.25">
      <c r="A17" s="17" t="s">
        <v>48</v>
      </c>
      <c r="B17" s="17" t="s">
        <v>1725</v>
      </c>
      <c r="C17" s="17" t="s">
        <v>1726</v>
      </c>
      <c r="D17" s="17" t="s">
        <v>21</v>
      </c>
      <c r="E17" s="17" t="s">
        <v>1706</v>
      </c>
      <c r="F17" s="17"/>
      <c r="G17" s="17" t="s">
        <v>1674</v>
      </c>
    </row>
    <row r="18" spans="1:7" x14ac:dyDescent="0.25">
      <c r="A18" s="17" t="s">
        <v>48</v>
      </c>
      <c r="B18" s="17" t="s">
        <v>1727</v>
      </c>
      <c r="C18" s="17" t="s">
        <v>1728</v>
      </c>
      <c r="D18" s="17" t="s">
        <v>22</v>
      </c>
      <c r="E18" s="17" t="s">
        <v>1706</v>
      </c>
      <c r="F18" s="17"/>
      <c r="G18" s="17" t="s">
        <v>1674</v>
      </c>
    </row>
    <row r="19" spans="1:7" x14ac:dyDescent="0.25">
      <c r="A19" s="17" t="s">
        <v>48</v>
      </c>
      <c r="B19" s="17" t="s">
        <v>1729</v>
      </c>
      <c r="C19" s="17" t="s">
        <v>1730</v>
      </c>
      <c r="D19" s="17" t="s">
        <v>19</v>
      </c>
      <c r="E19" s="17" t="s">
        <v>1688</v>
      </c>
      <c r="F19" s="17"/>
      <c r="G19" s="17" t="s">
        <v>1674</v>
      </c>
    </row>
    <row r="20" spans="1:7" x14ac:dyDescent="0.25">
      <c r="A20" s="17" t="s">
        <v>43</v>
      </c>
      <c r="B20" s="17" t="s">
        <v>1731</v>
      </c>
      <c r="C20" s="17" t="s">
        <v>1732</v>
      </c>
      <c r="D20" s="17" t="s">
        <v>26</v>
      </c>
      <c r="E20" s="17" t="s">
        <v>1688</v>
      </c>
      <c r="F20" s="17"/>
      <c r="G20" s="17" t="s">
        <v>1674</v>
      </c>
    </row>
    <row r="21" spans="1:7" x14ac:dyDescent="0.25">
      <c r="A21" s="17" t="s">
        <v>43</v>
      </c>
      <c r="B21" s="17" t="s">
        <v>1733</v>
      </c>
      <c r="C21" s="17" t="s">
        <v>1734</v>
      </c>
      <c r="D21" s="17" t="s">
        <v>25</v>
      </c>
      <c r="E21" s="17" t="s">
        <v>1683</v>
      </c>
      <c r="F21" s="17" t="s">
        <v>1735</v>
      </c>
      <c r="G21" s="17" t="s">
        <v>1679</v>
      </c>
    </row>
    <row r="22" spans="1:7" x14ac:dyDescent="0.25">
      <c r="A22" s="17" t="s">
        <v>43</v>
      </c>
      <c r="B22" s="17" t="s">
        <v>1736</v>
      </c>
      <c r="C22" s="17" t="s">
        <v>1737</v>
      </c>
      <c r="D22" s="17" t="s">
        <v>1738</v>
      </c>
      <c r="E22" s="17" t="s">
        <v>1673</v>
      </c>
      <c r="F22" s="17"/>
      <c r="G22" s="17" t="s">
        <v>1674</v>
      </c>
    </row>
    <row r="23" spans="1:7" x14ac:dyDescent="0.25">
      <c r="A23" s="17" t="s">
        <v>43</v>
      </c>
      <c r="B23" s="17" t="s">
        <v>1739</v>
      </c>
      <c r="C23" s="17" t="s">
        <v>1740</v>
      </c>
      <c r="D23" s="17" t="s">
        <v>22</v>
      </c>
      <c r="E23" s="17" t="s">
        <v>1677</v>
      </c>
      <c r="F23" s="17" t="s">
        <v>1741</v>
      </c>
      <c r="G23" s="17" t="s">
        <v>1679</v>
      </c>
    </row>
    <row r="24" spans="1:7" x14ac:dyDescent="0.25">
      <c r="A24" s="17" t="s">
        <v>43</v>
      </c>
      <c r="B24" s="17" t="s">
        <v>1742</v>
      </c>
      <c r="C24" s="17" t="s">
        <v>1743</v>
      </c>
      <c r="D24" s="17" t="s">
        <v>1744</v>
      </c>
      <c r="E24" s="17" t="s">
        <v>1706</v>
      </c>
      <c r="F24" s="17"/>
      <c r="G24" s="17" t="s">
        <v>1674</v>
      </c>
    </row>
    <row r="25" spans="1:7" x14ac:dyDescent="0.25">
      <c r="A25" s="17" t="s">
        <v>43</v>
      </c>
      <c r="B25" s="17" t="s">
        <v>1745</v>
      </c>
      <c r="C25" s="17" t="s">
        <v>1746</v>
      </c>
      <c r="D25" s="17" t="s">
        <v>1747</v>
      </c>
      <c r="E25" s="17" t="s">
        <v>1677</v>
      </c>
      <c r="F25" s="17" t="s">
        <v>1748</v>
      </c>
      <c r="G25" s="17" t="s">
        <v>1679</v>
      </c>
    </row>
    <row r="26" spans="1:7" x14ac:dyDescent="0.25">
      <c r="A26" s="17" t="s">
        <v>43</v>
      </c>
      <c r="B26" s="17" t="s">
        <v>1749</v>
      </c>
      <c r="C26" s="17" t="s">
        <v>1750</v>
      </c>
      <c r="D26" s="17" t="s">
        <v>1682</v>
      </c>
      <c r="E26" s="17" t="s">
        <v>1688</v>
      </c>
      <c r="F26" s="17"/>
      <c r="G26" s="17" t="s">
        <v>1674</v>
      </c>
    </row>
    <row r="27" spans="1:7" x14ac:dyDescent="0.25">
      <c r="A27" s="17" t="s">
        <v>43</v>
      </c>
      <c r="B27" s="17" t="s">
        <v>1751</v>
      </c>
      <c r="C27" s="17" t="s">
        <v>1752</v>
      </c>
      <c r="D27" s="17" t="s">
        <v>1753</v>
      </c>
      <c r="E27" s="17" t="s">
        <v>1688</v>
      </c>
      <c r="F27" s="17"/>
      <c r="G27" s="17" t="s">
        <v>1674</v>
      </c>
    </row>
    <row r="28" spans="1:7" x14ac:dyDescent="0.25">
      <c r="A28" s="17" t="s">
        <v>43</v>
      </c>
      <c r="B28" s="17" t="s">
        <v>1754</v>
      </c>
      <c r="C28" s="17" t="s">
        <v>1755</v>
      </c>
      <c r="D28" s="17" t="s">
        <v>19</v>
      </c>
      <c r="E28" s="17" t="s">
        <v>1677</v>
      </c>
      <c r="F28" s="17" t="s">
        <v>1756</v>
      </c>
      <c r="G28" s="17" t="s">
        <v>1679</v>
      </c>
    </row>
    <row r="29" spans="1:7" x14ac:dyDescent="0.25">
      <c r="A29" s="17" t="s">
        <v>43</v>
      </c>
      <c r="B29" s="17" t="s">
        <v>1757</v>
      </c>
      <c r="C29" s="17" t="s">
        <v>1758</v>
      </c>
      <c r="D29" s="17" t="s">
        <v>1759</v>
      </c>
      <c r="E29" s="17" t="s">
        <v>1683</v>
      </c>
      <c r="F29" s="17" t="s">
        <v>1760</v>
      </c>
      <c r="G29" s="17" t="s">
        <v>1679</v>
      </c>
    </row>
  </sheetData>
  <autoFilter ref="A1:G2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Clean Data</vt:lpstr>
      <vt:lpstr>Data Quality Log</vt:lpstr>
      <vt:lpstr>Rejected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Adnan</cp:lastModifiedBy>
  <dcterms:created xsi:type="dcterms:W3CDTF">2026-09-21T18:39:25Z</dcterms:created>
  <dcterms:modified xsi:type="dcterms:W3CDTF">2026-09-21T18:40:13Z</dcterms:modified>
</cp:coreProperties>
</file>